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1.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17a22fede820b6e8/Desktop/"/>
    </mc:Choice>
  </mc:AlternateContent>
  <xr:revisionPtr revIDLastSave="0" documentId="14_{D0D324B5-9185-4B7B-9AD3-B52650E18FF8}" xr6:coauthVersionLast="47" xr6:coauthVersionMax="47" xr10:uidLastSave="{00000000-0000-0000-0000-000000000000}"/>
  <bookViews>
    <workbookView xWindow="-108" yWindow="-108" windowWidth="23256" windowHeight="13896" activeTab="5" xr2:uid="{8A33CC25-353A-4FF0-8045-B53F2FA831C0}"/>
  </bookViews>
  <sheets>
    <sheet name="RAW DATA" sheetId="1" r:id="rId1"/>
    <sheet name="NUMERICAL DATA" sheetId="2" r:id="rId2"/>
    <sheet name="AVG S-O-R" sheetId="3" r:id="rId3"/>
    <sheet name="PIVOT AGE" sheetId="9" r:id="rId4"/>
    <sheet name="PIVOT STIMULI" sheetId="6" r:id="rId5"/>
    <sheet name="DASHBOARD" sheetId="8" r:id="rId6"/>
  </sheets>
  <definedNames>
    <definedName name="Slicer_Gender">#N/A</definedName>
  </definedNames>
  <calcPr calcId="191029"/>
  <pivotCaches>
    <pivotCache cacheId="1" r:id="rId7"/>
    <pivotCache cacheId="8"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3" l="1"/>
  <c r="I2" i="3"/>
  <c r="C2" i="3"/>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AC2" i="2"/>
  <c r="W3" i="2"/>
  <c r="W2" i="2"/>
  <c r="Q2" i="2"/>
  <c r="K2" i="2"/>
</calcChain>
</file>

<file path=xl/sharedStrings.xml><?xml version="1.0" encoding="utf-8"?>
<sst xmlns="http://schemas.openxmlformats.org/spreadsheetml/2006/main" count="2863" uniqueCount="151">
  <si>
    <t>Timestamp</t>
  </si>
  <si>
    <t>Age</t>
  </si>
  <si>
    <t>Gender</t>
  </si>
  <si>
    <t>Educational Qualification</t>
  </si>
  <si>
    <t>Frequency of Purchase from Nykaa</t>
  </si>
  <si>
    <t>Monthly Income</t>
  </si>
  <si>
    <t>Nykaa offers good value for the money I spend.</t>
  </si>
  <si>
    <t>The prices on Nykaa are reasonable compared to other online beauty platforms.</t>
  </si>
  <si>
    <t>Discounts and offers on Nykaa make shopping more worthwhile.</t>
  </si>
  <si>
    <t>Nykaa provides a good balance between price and product benefits.</t>
  </si>
  <si>
    <t>Overall, shopping on Nykaa feels economically beneficial to me.</t>
  </si>
  <si>
    <t>Products purchased from Nykaa are of high quality.</t>
  </si>
  <si>
    <t>Nykaa provides genuine and authentic beauty products.</t>
  </si>
  <si>
    <t>The products I buy from Nykaa meet my expectations.</t>
  </si>
  <si>
    <t>Nykaa offers safe and reliable beauty products.</t>
  </si>
  <si>
    <t>I trust the quality standards followed by Nykaa.</t>
  </si>
  <si>
    <t>Nykaa’s advertisements are visually attractive.</t>
  </si>
  <si>
    <t>Advertisements by Nykaa create a positive impression in my mind.</t>
  </si>
  <si>
    <t>Influencer promotions by Nykaa make the brand more appealing.</t>
  </si>
  <si>
    <t>Nykaa’s advertisements are informative and engaging.</t>
  </si>
  <si>
    <t>Advertisements encourage me to explore or purchase products from Nykaa.</t>
  </si>
  <si>
    <t>I intend to continue purchasing from Nykaa in the future.</t>
  </si>
  <si>
    <t>I prefer Nykaa over other online beauty platforms.</t>
  </si>
  <si>
    <t>I would recommend Nykaa to friends and family.</t>
  </si>
  <si>
    <t>I consider myself a loyal customer of Nykaa.</t>
  </si>
  <si>
    <t>I feel emotionally connected to the Nykaa brand.</t>
  </si>
  <si>
    <t>21-30</t>
  </si>
  <si>
    <t>Female</t>
  </si>
  <si>
    <t>Undergraduate</t>
  </si>
  <si>
    <t>Often</t>
  </si>
  <si>
    <t>No income</t>
  </si>
  <si>
    <t>Agree</t>
  </si>
  <si>
    <t>Neutral</t>
  </si>
  <si>
    <t>Strongly Agree</t>
  </si>
  <si>
    <t>Disagree</t>
  </si>
  <si>
    <t>Male</t>
  </si>
  <si>
    <t>Postgraduate</t>
  </si>
  <si>
    <t>Below 20</t>
  </si>
  <si>
    <t>Occassionally</t>
  </si>
  <si>
    <t>Below ₹10,000</t>
  </si>
  <si>
    <t>Very frequently</t>
  </si>
  <si>
    <t>Above ₹40,000</t>
  </si>
  <si>
    <t>Very rarely</t>
  </si>
  <si>
    <t>Strongly Disagree</t>
  </si>
  <si>
    <t>Professional</t>
  </si>
  <si>
    <t>₹20,001 – ₹40,000</t>
  </si>
  <si>
    <t>₹10,001 – ₹20,000</t>
  </si>
  <si>
    <t>2/13/2026 0:05:48</t>
  </si>
  <si>
    <t>2/13/2026 10:33:54</t>
  </si>
  <si>
    <t>2/13/2026 14:51:58</t>
  </si>
  <si>
    <t>2/13/2026 15:32:25</t>
  </si>
  <si>
    <t>2/13/2026 16:13:04</t>
  </si>
  <si>
    <t>2/13/2026 19:15:09</t>
  </si>
  <si>
    <t>2/13/2026 21:04:03</t>
  </si>
  <si>
    <t>2/13/2026 21:41:43</t>
  </si>
  <si>
    <t>2/13/2026 22:57:40</t>
  </si>
  <si>
    <t>2/14/2026 12:51:23</t>
  </si>
  <si>
    <t>2/14/2026 14:59:46</t>
  </si>
  <si>
    <t>2/14/2026 18:49:26</t>
  </si>
  <si>
    <t>2/14/2026 19:19:28</t>
  </si>
  <si>
    <t>2/14/2026 19:23:05</t>
  </si>
  <si>
    <t>2/15/2026 12:53:28</t>
  </si>
  <si>
    <t>2/16/2026 2:00:33</t>
  </si>
  <si>
    <t>31-40</t>
  </si>
  <si>
    <t>2/16/2026 2:01:30</t>
  </si>
  <si>
    <t>2/16/2026 2:02:32</t>
  </si>
  <si>
    <t>Above 40</t>
  </si>
  <si>
    <t>Others</t>
  </si>
  <si>
    <t>2/16/2026 14:38:12</t>
  </si>
  <si>
    <t>2/16/2026 14:39:19</t>
  </si>
  <si>
    <t>2/16/2026 14:40:53</t>
  </si>
  <si>
    <t>2/16/2026 14:44:51</t>
  </si>
  <si>
    <t>2/16/2026 15:03:14</t>
  </si>
  <si>
    <t>2/16/2026 15:06:35</t>
  </si>
  <si>
    <t>2/16/2026 16:19:24</t>
  </si>
  <si>
    <t>2/16/2026 23:26:55</t>
  </si>
  <si>
    <t>2/16/2026 23:57:51</t>
  </si>
  <si>
    <t>2/16/2026 23:59:05</t>
  </si>
  <si>
    <t>2/17/2026 0:00:19</t>
  </si>
  <si>
    <t>2/17/2026 11:29:53</t>
  </si>
  <si>
    <t>2/17/2026 13:35:57</t>
  </si>
  <si>
    <t>2/18/2026 13:31:52</t>
  </si>
  <si>
    <t>2/19/2026 12:23:18</t>
  </si>
  <si>
    <t>2/19/2026 12:24:10</t>
  </si>
  <si>
    <t>2/19/2026 12:26:11</t>
  </si>
  <si>
    <t>2/19/2026 12:36:02</t>
  </si>
  <si>
    <t>2/19/2026 12:36:50</t>
  </si>
  <si>
    <t>2/19/2026 14:13:58</t>
  </si>
  <si>
    <t>2/19/2026 14:14:18</t>
  </si>
  <si>
    <t>2/19/2026 15:39:38</t>
  </si>
  <si>
    <t>2/19/2026 15:40:14</t>
  </si>
  <si>
    <t>2/19/2026 15:41:35</t>
  </si>
  <si>
    <t>2/19/2026 15:55:48</t>
  </si>
  <si>
    <t>2/19/2026 15:56:08</t>
  </si>
  <si>
    <t>2/19/2026 15:56:42</t>
  </si>
  <si>
    <t>2/19/2026 15:58:58</t>
  </si>
  <si>
    <t>2/19/2026 15:59:14</t>
  </si>
  <si>
    <t>2/19/2026 15:59:22</t>
  </si>
  <si>
    <t>2/19/2026 16:00:35</t>
  </si>
  <si>
    <t>2/19/2026 16:04:43</t>
  </si>
  <si>
    <t>2/19/2026 16:05:31</t>
  </si>
  <si>
    <t>2/19/2026 16:05:44</t>
  </si>
  <si>
    <t>2/19/2026 16:07:26</t>
  </si>
  <si>
    <t>2/19/2026 16:09:35</t>
  </si>
  <si>
    <t>2/19/2026 16:09:36</t>
  </si>
  <si>
    <t>2/19/2026 16:12:07</t>
  </si>
  <si>
    <t>2/19/2026 16:13:27</t>
  </si>
  <si>
    <t>2/19/2026 16:13:59</t>
  </si>
  <si>
    <t>2/19/2026 16:14:10</t>
  </si>
  <si>
    <t>2/19/2026 16:14:23</t>
  </si>
  <si>
    <t>2/19/2026 16:14:56</t>
  </si>
  <si>
    <t>2/19/2026 16:15:00</t>
  </si>
  <si>
    <t>2/19/2026 16:17:08</t>
  </si>
  <si>
    <t>2/19/2026 16:19:12</t>
  </si>
  <si>
    <t>2/19/2026 16:19:22</t>
  </si>
  <si>
    <t>2/19/2026 16:20:41</t>
  </si>
  <si>
    <t>2/19/2026 17:02:49</t>
  </si>
  <si>
    <t>2/19/2026 17:03:37</t>
  </si>
  <si>
    <t>2/19/2026 22:08:00</t>
  </si>
  <si>
    <t>2/19/2026 22:08:54</t>
  </si>
  <si>
    <t>2/19/2026 22:09:51</t>
  </si>
  <si>
    <t>2/19/2026 22:26:28</t>
  </si>
  <si>
    <t>2/19/2026 22:27:30</t>
  </si>
  <si>
    <t>2/19/2026 22:28:29</t>
  </si>
  <si>
    <t>2/19/2026 22:29:23</t>
  </si>
  <si>
    <t>2/19/2026 22:29:43</t>
  </si>
  <si>
    <t>2/19/2026 22:29:48</t>
  </si>
  <si>
    <t>2/19/2026 22:30:10</t>
  </si>
  <si>
    <t>2/19/2026 22:30:33</t>
  </si>
  <si>
    <t>2/19/2026 22:31:11</t>
  </si>
  <si>
    <t>2/19/2026 22:31:52</t>
  </si>
  <si>
    <t>2/19/2026 22:32:00</t>
  </si>
  <si>
    <t>PERCEIVED VALUE (STIMULUS-1)</t>
  </si>
  <si>
    <r>
      <t xml:space="preserve"> </t>
    </r>
    <r>
      <rPr>
        <u/>
        <sz val="10"/>
        <rFont val="Roboto"/>
      </rPr>
      <t>PRODUCT QUALITY(STIMULUS-S2)</t>
    </r>
  </si>
  <si>
    <t>ADVERTISEMENT APPEAL(STIMULUS-3)</t>
  </si>
  <si>
    <t>CUTOMER LOYALTY(RESPONSE-R)</t>
  </si>
  <si>
    <t>EFFECT OF VALUE ON LOYALTY</t>
  </si>
  <si>
    <t>EFFECT OF PRODUCT QUALITY ON LOYALTY</t>
  </si>
  <si>
    <t>EFFECT OF ADS ON CUSTOMER LOYALTY</t>
  </si>
  <si>
    <r>
      <t>PERCEIVED</t>
    </r>
    <r>
      <rPr>
        <i/>
        <sz val="11"/>
        <color theme="1"/>
        <rFont val="Calibri"/>
        <family val="2"/>
        <scheme val="minor"/>
      </rPr>
      <t xml:space="preserve"> VALUE</t>
    </r>
    <r>
      <rPr>
        <sz val="11"/>
        <color theme="1"/>
        <rFont val="Calibri"/>
        <family val="2"/>
        <scheme val="minor"/>
      </rPr>
      <t xml:space="preserve"> (STIMULUS-1)</t>
    </r>
  </si>
  <si>
    <r>
      <t xml:space="preserve"> PRODUCT</t>
    </r>
    <r>
      <rPr>
        <i/>
        <sz val="11"/>
        <color theme="1"/>
        <rFont val="Calibri"/>
        <family val="2"/>
        <scheme val="minor"/>
      </rPr>
      <t xml:space="preserve"> QUALITY</t>
    </r>
    <r>
      <rPr>
        <sz val="11"/>
        <color theme="1"/>
        <rFont val="Calibri"/>
        <family val="2"/>
        <scheme val="minor"/>
      </rPr>
      <t>(STIMULUS-S2)</t>
    </r>
  </si>
  <si>
    <r>
      <rPr>
        <i/>
        <sz val="11"/>
        <color theme="1"/>
        <rFont val="Calibri"/>
        <family val="2"/>
        <scheme val="minor"/>
      </rPr>
      <t>ADVERTISEMENT</t>
    </r>
    <r>
      <rPr>
        <sz val="11"/>
        <color theme="1"/>
        <rFont val="Calibri"/>
        <family val="2"/>
        <scheme val="minor"/>
      </rPr>
      <t xml:space="preserve"> APPEAL(STIMULUS-3)</t>
    </r>
  </si>
  <si>
    <t>VALUE</t>
  </si>
  <si>
    <t>QUALITY</t>
  </si>
  <si>
    <t>ADS</t>
  </si>
  <si>
    <t>Row Labels</t>
  </si>
  <si>
    <t>Grand Total</t>
  </si>
  <si>
    <t>Average of CUTOMER LOYALTY(RESPONSE-R)</t>
  </si>
  <si>
    <t>MALE</t>
  </si>
  <si>
    <t>FEMALE</t>
  </si>
  <si>
    <t>Sum of Average of SCORE2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</si>
</sst>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rgb="FFFFFFFF"/>
      <name val="Roboto"/>
    </font>
    <font>
      <sz val="10"/>
      <color rgb="FF434343"/>
      <name val="Roboto"/>
    </font>
    <font>
      <u/>
      <sz val="10"/>
      <color theme="2" tint="-0.89999084444715716"/>
      <name val="Roboto"/>
    </font>
    <font>
      <b/>
      <sz val="11"/>
      <color theme="1"/>
      <name val="Calibri"/>
      <family val="2"/>
      <scheme val="minor"/>
    </font>
    <font>
      <u/>
      <sz val="10"/>
      <name val="Roboto"/>
    </font>
    <font>
      <u/>
      <sz val="11"/>
      <color theme="1"/>
      <name val="Calibri"/>
      <family val="2"/>
      <scheme val="minor"/>
    </font>
    <font>
      <i/>
      <sz val="11"/>
      <color theme="1"/>
      <name val="Calibri"/>
      <family val="2"/>
      <scheme val="minor"/>
    </font>
  </fonts>
  <fills count="9">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rgb="FFFF8C8B"/>
        <bgColor indexed="64"/>
      </patternFill>
    </fill>
    <fill>
      <patternFill patternType="solid">
        <fgColor theme="8" tint="0.79998168889431442"/>
        <bgColor indexed="64"/>
      </patternFill>
    </fill>
    <fill>
      <patternFill patternType="solid">
        <fgColor rgb="FFC5D3FF"/>
        <bgColor indexed="64"/>
      </patternFill>
    </fill>
    <fill>
      <patternFill patternType="solid">
        <fgColor rgb="FFC189F7"/>
        <bgColor indexed="64"/>
      </patternFill>
    </fill>
  </fills>
  <borders count="12">
    <border>
      <left/>
      <right/>
      <top/>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8F9FA"/>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s>
  <cellStyleXfs count="1">
    <xf numFmtId="0" fontId="0" fillId="0" borderId="0"/>
  </cellStyleXfs>
  <cellXfs count="27">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22" fontId="2" fillId="3" borderId="4" xfId="0" applyNumberFormat="1" applyFont="1" applyFill="1" applyBorder="1" applyAlignment="1">
      <alignment horizontal="right" vertical="center" wrapText="1"/>
    </xf>
    <xf numFmtId="0" fontId="2" fillId="3" borderId="5" xfId="0" applyFont="1" applyFill="1" applyBorder="1" applyAlignment="1">
      <alignment vertical="center" wrapText="1"/>
    </xf>
    <xf numFmtId="0" fontId="2" fillId="3" borderId="6" xfId="0" applyFont="1" applyFill="1" applyBorder="1" applyAlignment="1">
      <alignment vertical="center" wrapText="1"/>
    </xf>
    <xf numFmtId="22" fontId="2" fillId="4" borderId="7" xfId="0" applyNumberFormat="1" applyFont="1" applyFill="1" applyBorder="1" applyAlignment="1">
      <alignment horizontal="right" vertical="center" wrapText="1"/>
    </xf>
    <xf numFmtId="0" fontId="2" fillId="4" borderId="8" xfId="0" applyFont="1" applyFill="1" applyBorder="1" applyAlignment="1">
      <alignment vertical="center" wrapText="1"/>
    </xf>
    <xf numFmtId="0" fontId="2" fillId="4" borderId="6" xfId="0" applyFont="1" applyFill="1" applyBorder="1" applyAlignment="1">
      <alignment vertical="center" wrapText="1"/>
    </xf>
    <xf numFmtId="0" fontId="2" fillId="3" borderId="4" xfId="0" applyFont="1" applyFill="1" applyBorder="1" applyAlignment="1">
      <alignment horizontal="right" vertical="center" wrapText="1"/>
    </xf>
    <xf numFmtId="0" fontId="2" fillId="4" borderId="7" xfId="0" applyFont="1" applyFill="1" applyBorder="1" applyAlignment="1">
      <alignment horizontal="right" vertical="center" wrapText="1"/>
    </xf>
    <xf numFmtId="0" fontId="2" fillId="4" borderId="9" xfId="0" applyFont="1" applyFill="1" applyBorder="1" applyAlignment="1">
      <alignment horizontal="right" vertical="center" wrapText="1"/>
    </xf>
    <xf numFmtId="0" fontId="2" fillId="4" borderId="10" xfId="0" applyFont="1" applyFill="1" applyBorder="1" applyAlignment="1">
      <alignment vertical="center" wrapText="1"/>
    </xf>
    <xf numFmtId="0" fontId="2" fillId="4" borderId="11" xfId="0" applyFont="1" applyFill="1" applyBorder="1" applyAlignment="1">
      <alignment vertical="center" wrapText="1"/>
    </xf>
    <xf numFmtId="0" fontId="3" fillId="5" borderId="2" xfId="0" applyFont="1" applyFill="1" applyBorder="1" applyAlignment="1">
      <alignment vertical="center" wrapText="1"/>
    </xf>
    <xf numFmtId="0" fontId="1" fillId="5" borderId="2" xfId="0" applyFont="1" applyFill="1" applyBorder="1" applyAlignment="1">
      <alignment vertical="center" wrapText="1"/>
    </xf>
    <xf numFmtId="0" fontId="5" fillId="5" borderId="2" xfId="0" applyFont="1" applyFill="1" applyBorder="1" applyAlignment="1">
      <alignment vertical="center" wrapText="1"/>
    </xf>
    <xf numFmtId="0" fontId="0" fillId="5" borderId="0" xfId="0" applyFill="1"/>
    <xf numFmtId="0" fontId="2" fillId="6" borderId="5" xfId="0" applyFont="1" applyFill="1" applyBorder="1" applyAlignment="1">
      <alignment vertical="center" wrapText="1"/>
    </xf>
    <xf numFmtId="0" fontId="0" fillId="6" borderId="0" xfId="0" applyFill="1"/>
    <xf numFmtId="2" fontId="0" fillId="8" borderId="0" xfId="0" applyNumberFormat="1" applyFill="1"/>
    <xf numFmtId="0" fontId="4" fillId="7" borderId="0" xfId="0" applyFont="1" applyFill="1" applyAlignment="1">
      <alignment wrapText="1"/>
    </xf>
    <xf numFmtId="0" fontId="6" fillId="0" borderId="0" xfId="0" applyFont="1" applyAlignment="1">
      <alignment wrapText="1"/>
    </xf>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86">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9" formatCode="0.000"/>
    </dxf>
    <dxf>
      <numFmt numFmtId="168" formatCode="0.0000"/>
    </dxf>
    <dxf>
      <numFmt numFmtId="167" formatCode="0.00000"/>
    </dxf>
    <dxf>
      <numFmt numFmtId="166" formatCode="0.000000"/>
    </dxf>
    <dxf>
      <numFmt numFmtId="165" formatCode="0.0000000"/>
    </dxf>
    <dxf>
      <numFmt numFmtId="164"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9" formatCode="0.000"/>
    </dxf>
    <dxf>
      <numFmt numFmtId="168" formatCode="0.0000"/>
    </dxf>
    <dxf>
      <numFmt numFmtId="167" formatCode="0.00000"/>
    </dxf>
    <dxf>
      <numFmt numFmtId="166" formatCode="0.000000"/>
    </dxf>
    <dxf>
      <numFmt numFmtId="165" formatCode="0.0000000"/>
    </dxf>
    <dxf>
      <numFmt numFmtId="164" formatCode="0.00000000"/>
    </dxf>
    <dxf>
      <numFmt numFmtId="169" formatCode="0.000"/>
    </dxf>
    <dxf>
      <numFmt numFmtId="168" formatCode="0.0000"/>
    </dxf>
    <dxf>
      <numFmt numFmtId="167" formatCode="0.00000"/>
    </dxf>
    <dxf>
      <numFmt numFmtId="166" formatCode="0.000000"/>
    </dxf>
    <dxf>
      <numFmt numFmtId="165" formatCode="0.0000000"/>
    </dxf>
    <dxf>
      <numFmt numFmtId="164" formatCode="0.00000000"/>
    </dxf>
    <dxf>
      <numFmt numFmtId="169" formatCode="0.000"/>
    </dxf>
    <dxf>
      <numFmt numFmtId="168" formatCode="0.0000"/>
    </dxf>
    <dxf>
      <numFmt numFmtId="167" formatCode="0.00000"/>
    </dxf>
    <dxf>
      <numFmt numFmtId="166" formatCode="0.000000"/>
    </dxf>
    <dxf>
      <numFmt numFmtId="165" formatCode="0.0000000"/>
    </dxf>
    <dxf>
      <numFmt numFmtId="164" formatCode="0.00000000"/>
    </dxf>
    <dxf>
      <numFmt numFmtId="169" formatCode="0.000"/>
    </dxf>
    <dxf>
      <numFmt numFmtId="168" formatCode="0.0000"/>
    </dxf>
    <dxf>
      <numFmt numFmtId="167" formatCode="0.00000"/>
    </dxf>
    <dxf>
      <numFmt numFmtId="166" formatCode="0.000000"/>
    </dxf>
    <dxf>
      <numFmt numFmtId="165" formatCode="0.0000000"/>
    </dxf>
    <dxf>
      <numFmt numFmtId="164" formatCode="0.000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FF99FF"/>
      <color rgb="FFFFCCFF"/>
      <color rgb="FFC8C3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latin typeface="Times New Roman" panose="02020603050405020304" pitchFamily="18" charset="0"/>
                <a:cs typeface="Times New Roman" panose="02020603050405020304" pitchFamily="18" charset="0"/>
              </a:rPr>
              <a:t>S-O-R MODEL: Impact of stimuli on loyalty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0176859142607176"/>
          <c:y val="0.23281605424321961"/>
          <c:w val="0.41868525809273843"/>
          <c:h val="0.69780876348789733"/>
        </c:manualLayout>
      </c:layout>
      <c:radarChart>
        <c:radarStyle val="marker"/>
        <c:varyColors val="0"/>
        <c:ser>
          <c:idx val="0"/>
          <c:order val="0"/>
          <c:spPr>
            <a:ln w="28575" cap="rnd">
              <a:solidFill>
                <a:srgbClr val="FF99FF"/>
              </a:solidFill>
              <a:round/>
            </a:ln>
            <a:effectLst/>
          </c:spPr>
          <c:marker>
            <c:symbol val="none"/>
          </c:marker>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('AVG S-O-R'!$C$2,'AVG S-O-R'!$F$2,'AVG S-O-R'!$I$2)</c:f>
              <c:numCache>
                <c:formatCode>0.00</c:formatCode>
                <c:ptCount val="3"/>
                <c:pt idx="0">
                  <c:v>0.6412890576015905</c:v>
                </c:pt>
                <c:pt idx="1">
                  <c:v>0.74536235436971754</c:v>
                </c:pt>
                <c:pt idx="2">
                  <c:v>0.75374855394045503</c:v>
                </c:pt>
              </c:numCache>
            </c:numRef>
          </c:val>
          <c:extLst>
            <c:ext xmlns:c16="http://schemas.microsoft.com/office/drawing/2014/chart" uri="{C3380CC4-5D6E-409C-BE32-E72D297353CC}">
              <c16:uniqueId val="{00000000-1B43-4132-84B4-1C0A3E3A16D0}"/>
            </c:ext>
          </c:extLst>
        </c:ser>
        <c:dLbls>
          <c:showLegendKey val="0"/>
          <c:showVal val="1"/>
          <c:showCatName val="0"/>
          <c:showSerName val="0"/>
          <c:showPercent val="0"/>
          <c:showBubbleSize val="0"/>
        </c:dLbls>
        <c:axId val="723089727"/>
        <c:axId val="723090207"/>
      </c:radarChart>
      <c:catAx>
        <c:axId val="72308972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090207"/>
        <c:crosses val="autoZero"/>
        <c:auto val="1"/>
        <c:lblAlgn val="ctr"/>
        <c:lblOffset val="100"/>
        <c:noMultiLvlLbl val="0"/>
      </c:catAx>
      <c:valAx>
        <c:axId val="7230902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08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[NYKAA_CUSTOMER_LOYALTY_ANALYSIS_SOR_MODEL.xlsx]PIVOT AGE!PivotTable1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Loyalty Score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AGE'!$A$4:$A$8</c:f>
              <c:strCache>
                <c:ptCount val="4"/>
                <c:pt idx="0">
                  <c:v>Below 20</c:v>
                </c:pt>
                <c:pt idx="1">
                  <c:v>21-30</c:v>
                </c:pt>
                <c:pt idx="2">
                  <c:v>31-40</c:v>
                </c:pt>
                <c:pt idx="3">
                  <c:v>Above 40</c:v>
                </c:pt>
              </c:strCache>
            </c:strRef>
          </c:cat>
          <c:val>
            <c:numRef>
              <c:f>'PIVOT AGE'!$B$4:$B$8</c:f>
              <c:numCache>
                <c:formatCode>0.00</c:formatCode>
                <c:ptCount val="4"/>
                <c:pt idx="0">
                  <c:v>3.0181818181818185</c:v>
                </c:pt>
                <c:pt idx="1">
                  <c:v>3.7253333333333321</c:v>
                </c:pt>
                <c:pt idx="2">
                  <c:v>3.4545454545454546</c:v>
                </c:pt>
                <c:pt idx="3">
                  <c:v>3.4571428571428577</c:v>
                </c:pt>
              </c:numCache>
            </c:numRef>
          </c:val>
          <c:extLst>
            <c:ext xmlns:c16="http://schemas.microsoft.com/office/drawing/2014/chart" uri="{C3380CC4-5D6E-409C-BE32-E72D297353CC}">
              <c16:uniqueId val="{00000000-4DB0-4679-B423-41FB426E3A05}"/>
            </c:ext>
          </c:extLst>
        </c:ser>
        <c:dLbls>
          <c:dLblPos val="outEnd"/>
          <c:showLegendKey val="0"/>
          <c:showVal val="1"/>
          <c:showCatName val="0"/>
          <c:showSerName val="0"/>
          <c:showPercent val="0"/>
          <c:showBubbleSize val="0"/>
        </c:dLbls>
        <c:gapWidth val="219"/>
        <c:overlap val="-27"/>
        <c:axId val="580220544"/>
        <c:axId val="580220064"/>
      </c:barChart>
      <c:catAx>
        <c:axId val="58022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220064"/>
        <c:crosses val="autoZero"/>
        <c:auto val="1"/>
        <c:lblAlgn val="ctr"/>
        <c:lblOffset val="100"/>
        <c:noMultiLvlLbl val="0"/>
      </c:catAx>
      <c:valAx>
        <c:axId val="5802200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22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[NYKAA_CUSTOMER_LOYALTY_ANALYSIS_SOR_MODEL.xlsx]PIVOT STIMULI!PivotTable2</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S-O-R MODEL: Impact of stimuli on loyalty</a:t>
            </a:r>
          </a:p>
        </c:rich>
      </c:tx>
      <c:layout>
        <c:manualLayout>
          <c:xMode val="edge"/>
          <c:yMode val="edge"/>
          <c:x val="0.12671578784850035"/>
          <c:y val="2.8402802333169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99FF"/>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7.5642965204236008E-3"/>
              <c:y val="-8.0071174377224205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layout>
            <c:manualLayout>
              <c:x val="0"/>
              <c:y val="-5.3380782918149468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layout>
            <c:manualLayout>
              <c:x val="-2.5214321734745334E-3"/>
              <c:y val="-4.151838671411625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layout>
            <c:manualLayout>
              <c:x val="0.14120020171457379"/>
              <c:y val="-5.6401579244218944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67503636348857"/>
          <c:y val="0.22515142890818826"/>
          <c:w val="0.53570528916083637"/>
          <c:h val="0.73846653615176527"/>
        </c:manualLayout>
      </c:layout>
      <c:radarChart>
        <c:radarStyle val="marker"/>
        <c:varyColors val="0"/>
        <c:ser>
          <c:idx val="0"/>
          <c:order val="0"/>
          <c:tx>
            <c:strRef>
              <c:f>'PIVOT STIMULI'!$B$3</c:f>
              <c:strCache>
                <c:ptCount val="1"/>
                <c:pt idx="0">
                  <c:v>Total</c:v>
                </c:pt>
              </c:strCache>
            </c:strRef>
          </c:tx>
          <c:spPr>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0-4D15-4C24-844D-96297EEE972B}"/>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1-4D15-4C24-844D-96297EEE972B}"/>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4D15-4C24-844D-96297EEE972B}"/>
              </c:ext>
            </c:extLst>
          </c:dPt>
          <c:dLbls>
            <c:dLbl>
              <c:idx val="0"/>
              <c:layout>
                <c:manualLayout>
                  <c:x val="-2.5214321734745334E-3"/>
                  <c:y val="-4.151838671411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D15-4C24-844D-96297EEE972B}"/>
                </c:ext>
              </c:extLst>
            </c:dLbl>
            <c:dLbl>
              <c:idx val="1"/>
              <c:layout>
                <c:manualLayout>
                  <c:x val="0.14120020171457379"/>
                  <c:y val="-5.64015792442189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D15-4C24-844D-96297EEE972B}"/>
                </c:ext>
              </c:extLst>
            </c:dLbl>
            <c:dLbl>
              <c:idx val="2"/>
              <c:layout>
                <c:manualLayout>
                  <c:x val="0"/>
                  <c:y val="-5.33807829181494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D15-4C24-844D-96297EEE972B}"/>
                </c:ext>
              </c:extLst>
            </c:dLbl>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STIMULI'!$A$4:$A$7</c:f>
              <c:strCache>
                <c:ptCount val="3"/>
                <c:pt idx="0">
                  <c:v>ADS</c:v>
                </c:pt>
                <c:pt idx="1">
                  <c:v>QUALITY</c:v>
                </c:pt>
                <c:pt idx="2">
                  <c:v>VALUE</c:v>
                </c:pt>
              </c:strCache>
            </c:strRef>
          </c:cat>
          <c:val>
            <c:numRef>
              <c:f>'PIVOT STIMULI'!$B$4:$B$7</c:f>
              <c:numCache>
                <c:formatCode>General</c:formatCode>
                <c:ptCount val="3"/>
                <c:pt idx="0">
                  <c:v>0.75</c:v>
                </c:pt>
                <c:pt idx="1">
                  <c:v>0.75</c:v>
                </c:pt>
                <c:pt idx="2">
                  <c:v>0.64</c:v>
                </c:pt>
              </c:numCache>
            </c:numRef>
          </c:val>
          <c:extLst>
            <c:ext xmlns:c16="http://schemas.microsoft.com/office/drawing/2014/chart" uri="{C3380CC4-5D6E-409C-BE32-E72D297353CC}">
              <c16:uniqueId val="{0000000A-D995-4DCD-B651-22581D2BDF05}"/>
            </c:ext>
          </c:extLst>
        </c:ser>
        <c:dLbls>
          <c:showLegendKey val="0"/>
          <c:showVal val="0"/>
          <c:showCatName val="0"/>
          <c:showSerName val="0"/>
          <c:showPercent val="0"/>
          <c:showBubbleSize val="0"/>
        </c:dLbls>
        <c:axId val="1558560768"/>
        <c:axId val="1558561248"/>
      </c:radarChart>
      <c:catAx>
        <c:axId val="1558560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030A0"/>
                </a:solidFill>
                <a:latin typeface="Times New Roman" panose="02020603050405020304" pitchFamily="18" charset="0"/>
                <a:ea typeface="+mn-ea"/>
                <a:cs typeface="Times New Roman" panose="02020603050405020304" pitchFamily="18" charset="0"/>
              </a:defRPr>
            </a:pPr>
            <a:endParaRPr lang="en-US"/>
          </a:p>
        </c:txPr>
        <c:crossAx val="1558561248"/>
        <c:crosses val="autoZero"/>
        <c:auto val="1"/>
        <c:lblAlgn val="ctr"/>
        <c:lblOffset val="100"/>
        <c:noMultiLvlLbl val="0"/>
      </c:catAx>
      <c:valAx>
        <c:axId val="155856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56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[NYKAA_CUSTOMER_LOYALTY_ANALYSIS_SOR_MODEL.xlsx]PIVOT STIMULI!PivotTable2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S-O-R MODEL: Impact of stimuli on loyalty</a:t>
            </a:r>
          </a:p>
        </c:rich>
      </c:tx>
      <c:layout>
        <c:manualLayout>
          <c:xMode val="edge"/>
          <c:yMode val="edge"/>
          <c:x val="0.12671578784850035"/>
          <c:y val="2.8402802333169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99FF"/>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layout>
            <c:manualLayout>
              <c:x val="-7.5642965204236008E-3"/>
              <c:y val="-8.0071174377224205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layout>
            <c:manualLayout>
              <c:x val="0"/>
              <c:y val="-5.3380782918149468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layout>
            <c:manualLayout>
              <c:x val="-2.5214321734745334E-3"/>
              <c:y val="-4.151838671411625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layout>
            <c:manualLayout>
              <c:x val="0.14120020171457379"/>
              <c:y val="-5.6401579244218944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layout>
            <c:manualLayout>
              <c:x val="-2.5214321734745334E-3"/>
              <c:y val="-4.151838671411625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layout>
            <c:manualLayout>
              <c:x val="-7.5642965204236008E-3"/>
              <c:y val="-8.0071174377224205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layout>
            <c:manualLayout>
              <c:x val="0.14120020171457379"/>
              <c:y val="-5.6401579244218944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layout>
            <c:manualLayout>
              <c:x val="0"/>
              <c:y val="-5.3380782918149468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layout>
            <c:manualLayout>
              <c:x val="-2.5214321734745334E-3"/>
              <c:y val="-4.151838671411625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7.5642965204236008E-3"/>
              <c:y val="-8.007117437722420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0.71</a:t>
                </a:r>
              </a:p>
            </c:rich>
          </c:tx>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5"/>
        <c:spPr>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layout>
            <c:manualLayout>
              <c:x val="0.14120020171457379"/>
              <c:y val="-5.6401579244218944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Lbl>
          <c:idx val="0"/>
          <c:layout>
            <c:manualLayout>
              <c:x val="0"/>
              <c:y val="-5.3380782918149468E-2"/>
            </c:manualLayout>
          </c:layout>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167503636348857"/>
          <c:y val="0.22515142890818826"/>
          <c:w val="0.53570528916083637"/>
          <c:h val="0.73846653615176527"/>
        </c:manualLayout>
      </c:layout>
      <c:radarChart>
        <c:radarStyle val="marker"/>
        <c:varyColors val="0"/>
        <c:ser>
          <c:idx val="0"/>
          <c:order val="0"/>
          <c:tx>
            <c:strRef>
              <c:f>'PIVOT STIMULI'!$B$3</c:f>
              <c:strCache>
                <c:ptCount val="1"/>
                <c:pt idx="0">
                  <c:v>Total</c:v>
                </c:pt>
              </c:strCache>
            </c:strRef>
          </c:tx>
          <c:spPr>
            <a:ln w="34925" cap="rnd">
              <a:solidFill>
                <a:srgbClr val="FF99FF"/>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bubble3D val="0"/>
            <c:spPr>
              <a:ln w="34925" cap="rnd">
                <a:solidFill>
                  <a:srgbClr val="FF99FF"/>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CF8D-45F7-A64E-6A5944F19C52}"/>
              </c:ext>
            </c:extLst>
          </c:dPt>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bubble3D val="0"/>
            <c:spPr>
              <a:ln w="34925" cap="rnd">
                <a:solidFill>
                  <a:srgbClr val="FF99FF"/>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8D-45F7-A64E-6A5944F19C52}"/>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rgbClr val="FF99FF"/>
                  </a:solidFill>
                  <a:round/>
                </a:ln>
                <a:effectLst>
                  <a:outerShdw blurRad="57150" dist="19050" dir="5400000" algn="ctr" rotWithShape="0">
                    <a:srgbClr val="000000">
                      <a:alpha val="63000"/>
                    </a:srgbClr>
                  </a:outerShdw>
                </a:effectLst>
              </c:spPr>
            </c:marker>
            <c:bubble3D val="0"/>
            <c:spPr>
              <a:ln w="34925" cap="rnd">
                <a:solidFill>
                  <a:srgbClr val="FF99FF"/>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F8D-45F7-A64E-6A5944F19C52}"/>
              </c:ext>
            </c:extLst>
          </c:dPt>
          <c:dLbls>
            <c:dLbl>
              <c:idx val="0"/>
              <c:layout>
                <c:manualLayout>
                  <c:x val="-2.5214321734745334E-3"/>
                  <c:y val="-4.151838671411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F8D-45F7-A64E-6A5944F19C52}"/>
                </c:ext>
              </c:extLst>
            </c:dLbl>
            <c:dLbl>
              <c:idx val="1"/>
              <c:layout>
                <c:manualLayout>
                  <c:x val="0.14120020171457379"/>
                  <c:y val="-5.64015792442189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8D-45F7-A64E-6A5944F19C52}"/>
                </c:ext>
              </c:extLst>
            </c:dLbl>
            <c:dLbl>
              <c:idx val="2"/>
              <c:layout>
                <c:manualLayout>
                  <c:x val="0"/>
                  <c:y val="-5.33807829181494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8D-45F7-A64E-6A5944F19C52}"/>
                </c:ext>
              </c:extLst>
            </c:dLbl>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STIMULI'!$A$4:$A$7</c:f>
              <c:strCache>
                <c:ptCount val="3"/>
                <c:pt idx="0">
                  <c:v>ADS</c:v>
                </c:pt>
                <c:pt idx="1">
                  <c:v>QUALITY</c:v>
                </c:pt>
                <c:pt idx="2">
                  <c:v>VALUE</c:v>
                </c:pt>
              </c:strCache>
            </c:strRef>
          </c:cat>
          <c:val>
            <c:numRef>
              <c:f>'PIVOT STIMULI'!$B$4:$B$7</c:f>
              <c:numCache>
                <c:formatCode>General</c:formatCode>
                <c:ptCount val="3"/>
                <c:pt idx="0">
                  <c:v>0.75</c:v>
                </c:pt>
                <c:pt idx="1">
                  <c:v>0.75</c:v>
                </c:pt>
                <c:pt idx="2">
                  <c:v>0.64</c:v>
                </c:pt>
              </c:numCache>
            </c:numRef>
          </c:val>
          <c:extLst>
            <c:ext xmlns:c16="http://schemas.microsoft.com/office/drawing/2014/chart" uri="{C3380CC4-5D6E-409C-BE32-E72D297353CC}">
              <c16:uniqueId val="{00000005-9FCE-4E1C-A56D-67BF071C99C9}"/>
            </c:ext>
          </c:extLst>
        </c:ser>
        <c:dLbls>
          <c:showLegendKey val="0"/>
          <c:showVal val="0"/>
          <c:showCatName val="0"/>
          <c:showSerName val="0"/>
          <c:showPercent val="0"/>
          <c:showBubbleSize val="0"/>
        </c:dLbls>
        <c:axId val="1558560768"/>
        <c:axId val="1558561248"/>
      </c:radarChart>
      <c:catAx>
        <c:axId val="1558560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7030A0"/>
                </a:solidFill>
                <a:latin typeface="Times New Roman" panose="02020603050405020304" pitchFamily="18" charset="0"/>
                <a:ea typeface="+mn-ea"/>
                <a:cs typeface="Times New Roman" panose="02020603050405020304" pitchFamily="18" charset="0"/>
              </a:defRPr>
            </a:pPr>
            <a:endParaRPr lang="en-US"/>
          </a:p>
        </c:txPr>
        <c:crossAx val="1558561248"/>
        <c:crosses val="autoZero"/>
        <c:auto val="1"/>
        <c:lblAlgn val="ctr"/>
        <c:lblOffset val="100"/>
        <c:noMultiLvlLbl val="0"/>
      </c:catAx>
      <c:valAx>
        <c:axId val="155856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56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[NYKAA_CUSTOMER_LOYALTY_ANALYSIS_SOR_MODEL.xlsx]PIVOT AGE!PivotTable1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Loyalty Score by Age Group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AGE'!$A$4:$A$8</c:f>
              <c:strCache>
                <c:ptCount val="4"/>
                <c:pt idx="0">
                  <c:v>Below 20</c:v>
                </c:pt>
                <c:pt idx="1">
                  <c:v>21-30</c:v>
                </c:pt>
                <c:pt idx="2">
                  <c:v>31-40</c:v>
                </c:pt>
                <c:pt idx="3">
                  <c:v>Above 40</c:v>
                </c:pt>
              </c:strCache>
            </c:strRef>
          </c:cat>
          <c:val>
            <c:numRef>
              <c:f>'PIVOT AGE'!$B$4:$B$8</c:f>
              <c:numCache>
                <c:formatCode>0.00</c:formatCode>
                <c:ptCount val="4"/>
                <c:pt idx="0">
                  <c:v>3.0181818181818185</c:v>
                </c:pt>
                <c:pt idx="1">
                  <c:v>3.7253333333333321</c:v>
                </c:pt>
                <c:pt idx="2">
                  <c:v>3.4545454545454546</c:v>
                </c:pt>
                <c:pt idx="3">
                  <c:v>3.4571428571428577</c:v>
                </c:pt>
              </c:numCache>
            </c:numRef>
          </c:val>
          <c:extLst>
            <c:ext xmlns:c16="http://schemas.microsoft.com/office/drawing/2014/chart" uri="{C3380CC4-5D6E-409C-BE32-E72D297353CC}">
              <c16:uniqueId val="{00000000-AA13-4ECC-B212-5C009E5184C9}"/>
            </c:ext>
          </c:extLst>
        </c:ser>
        <c:dLbls>
          <c:dLblPos val="outEnd"/>
          <c:showLegendKey val="0"/>
          <c:showVal val="1"/>
          <c:showCatName val="0"/>
          <c:showSerName val="0"/>
          <c:showPercent val="0"/>
          <c:showBubbleSize val="0"/>
        </c:dLbls>
        <c:gapWidth val="219"/>
        <c:overlap val="-27"/>
        <c:axId val="580220544"/>
        <c:axId val="580220064"/>
      </c:barChart>
      <c:catAx>
        <c:axId val="580220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220064"/>
        <c:crosses val="autoZero"/>
        <c:auto val="1"/>
        <c:lblAlgn val="ctr"/>
        <c:lblOffset val="100"/>
        <c:noMultiLvlLbl val="0"/>
      </c:catAx>
      <c:valAx>
        <c:axId val="5802200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220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0</xdr:colOff>
      <xdr:row>4</xdr:row>
      <xdr:rowOff>0</xdr:rowOff>
    </xdr:from>
    <xdr:to>
      <xdr:col>14</xdr:col>
      <xdr:colOff>38100</xdr:colOff>
      <xdr:row>19</xdr:row>
      <xdr:rowOff>0</xdr:rowOff>
    </xdr:to>
    <xdr:graphicFrame macro="">
      <xdr:nvGraphicFramePr>
        <xdr:cNvPr id="2" name="Chart 1">
          <a:extLst>
            <a:ext uri="{FF2B5EF4-FFF2-40B4-BE49-F238E27FC236}">
              <a16:creationId xmlns:a16="http://schemas.microsoft.com/office/drawing/2014/main" id="{773665AB-C61E-1DBB-18C8-323C98C9B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0.12333</cdr:x>
      <cdr:y>0.6875</cdr:y>
    </cdr:from>
    <cdr:to>
      <cdr:x>0.57</cdr:x>
      <cdr:y>0.75417</cdr:y>
    </cdr:to>
    <cdr:sp macro="" textlink="">
      <cdr:nvSpPr>
        <cdr:cNvPr id="4" name="TextBox 3">
          <a:extLst xmlns:a="http://schemas.openxmlformats.org/drawingml/2006/main">
            <a:ext uri="{FF2B5EF4-FFF2-40B4-BE49-F238E27FC236}">
              <a16:creationId xmlns:a16="http://schemas.microsoft.com/office/drawing/2014/main" id="{99D7E233-4442-C4F5-EE2C-EEE8A46E985E}"/>
            </a:ext>
          </a:extLst>
        </cdr:cNvPr>
        <cdr:cNvSpPr txBox="1"/>
      </cdr:nvSpPr>
      <cdr:spPr>
        <a:xfrm xmlns:a="http://schemas.openxmlformats.org/drawingml/2006/main">
          <a:off x="563880" y="1885950"/>
          <a:ext cx="2042160" cy="1828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0.52667</cdr:x>
      <cdr:y>0.33333</cdr:y>
    </cdr:from>
    <cdr:to>
      <cdr:x>0.72167</cdr:x>
      <cdr:y>0.53333</cdr:y>
    </cdr:to>
    <cdr:sp macro="" textlink="">
      <cdr:nvSpPr>
        <cdr:cNvPr id="6" name="TextBox 5">
          <a:extLst xmlns:a="http://schemas.openxmlformats.org/drawingml/2006/main">
            <a:ext uri="{FF2B5EF4-FFF2-40B4-BE49-F238E27FC236}">
              <a16:creationId xmlns:a16="http://schemas.microsoft.com/office/drawing/2014/main" id="{F2311F11-A320-EC40-87BD-948B9F4AF129}"/>
            </a:ext>
          </a:extLst>
        </cdr:cNvPr>
        <cdr:cNvSpPr txBox="1"/>
      </cdr:nvSpPr>
      <cdr:spPr>
        <a:xfrm xmlns:a="http://schemas.openxmlformats.org/drawingml/2006/main">
          <a:off x="2407920" y="914400"/>
          <a:ext cx="891540" cy="548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rgbClr val="7030A0"/>
              </a:solidFill>
              <a:latin typeface="Times New Roman" panose="02020603050405020304" pitchFamily="18" charset="0"/>
              <a:cs typeface="Times New Roman" panose="02020603050405020304" pitchFamily="18" charset="0"/>
            </a:rPr>
            <a:t>perceived value</a:t>
          </a:r>
        </a:p>
      </cdr:txBody>
    </cdr:sp>
  </cdr:relSizeAnchor>
  <cdr:relSizeAnchor xmlns:cdr="http://schemas.openxmlformats.org/drawingml/2006/chartDrawing">
    <cdr:from>
      <cdr:x>0.72167</cdr:x>
      <cdr:y>0.73056</cdr:y>
    </cdr:from>
    <cdr:to>
      <cdr:x>1</cdr:x>
      <cdr:y>0.86389</cdr:y>
    </cdr:to>
    <cdr:sp macro="" textlink="">
      <cdr:nvSpPr>
        <cdr:cNvPr id="7" name="TextBox 6">
          <a:extLst xmlns:a="http://schemas.openxmlformats.org/drawingml/2006/main">
            <a:ext uri="{FF2B5EF4-FFF2-40B4-BE49-F238E27FC236}">
              <a16:creationId xmlns:a16="http://schemas.microsoft.com/office/drawing/2014/main" id="{CB2B3C34-0237-D16F-6645-6D508FED7F27}"/>
            </a:ext>
          </a:extLst>
        </cdr:cNvPr>
        <cdr:cNvSpPr txBox="1"/>
      </cdr:nvSpPr>
      <cdr:spPr>
        <a:xfrm xmlns:a="http://schemas.openxmlformats.org/drawingml/2006/main">
          <a:off x="3299460" y="2004060"/>
          <a:ext cx="1272540" cy="365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rgbClr val="7030A0"/>
              </a:solidFill>
              <a:latin typeface="Times New Roman" panose="02020603050405020304" pitchFamily="18" charset="0"/>
              <a:cs typeface="Times New Roman" panose="02020603050405020304" pitchFamily="18" charset="0"/>
            </a:rPr>
            <a:t>ads appeal</a:t>
          </a:r>
        </a:p>
      </cdr:txBody>
    </cdr:sp>
  </cdr:relSizeAnchor>
  <cdr:relSizeAnchor xmlns:cdr="http://schemas.openxmlformats.org/drawingml/2006/chartDrawing">
    <cdr:from>
      <cdr:x>0.275</cdr:x>
      <cdr:y>0.79444</cdr:y>
    </cdr:from>
    <cdr:to>
      <cdr:x>0.72167</cdr:x>
      <cdr:y>0.92778</cdr:y>
    </cdr:to>
    <cdr:sp macro="" textlink="">
      <cdr:nvSpPr>
        <cdr:cNvPr id="8" name="TextBox 7">
          <a:extLst xmlns:a="http://schemas.openxmlformats.org/drawingml/2006/main">
            <a:ext uri="{FF2B5EF4-FFF2-40B4-BE49-F238E27FC236}">
              <a16:creationId xmlns:a16="http://schemas.microsoft.com/office/drawing/2014/main" id="{3521A6DD-A2B4-C80D-AB4C-AF91C058FDF3}"/>
            </a:ext>
          </a:extLst>
        </cdr:cNvPr>
        <cdr:cNvSpPr txBox="1"/>
      </cdr:nvSpPr>
      <cdr:spPr>
        <a:xfrm xmlns:a="http://schemas.openxmlformats.org/drawingml/2006/main">
          <a:off x="1257300" y="2179320"/>
          <a:ext cx="2042160" cy="3657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1100" b="1" kern="1200">
              <a:solidFill>
                <a:srgbClr val="7030A0"/>
              </a:solidFill>
              <a:latin typeface="Times New Roman" panose="02020603050405020304" pitchFamily="18" charset="0"/>
              <a:cs typeface="Times New Roman" panose="02020603050405020304" pitchFamily="18" charset="0"/>
            </a:rPr>
            <a:t>product quality</a:t>
          </a: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2270760</xdr:colOff>
      <xdr:row>8</xdr:row>
      <xdr:rowOff>133350</xdr:rowOff>
    </xdr:from>
    <xdr:to>
      <xdr:col>8</xdr:col>
      <xdr:colOff>457200</xdr:colOff>
      <xdr:row>23</xdr:row>
      <xdr:rowOff>133350</xdr:rowOff>
    </xdr:to>
    <xdr:graphicFrame macro="">
      <xdr:nvGraphicFramePr>
        <xdr:cNvPr id="2" name="Chart 1">
          <a:extLst>
            <a:ext uri="{FF2B5EF4-FFF2-40B4-BE49-F238E27FC236}">
              <a16:creationId xmlns:a16="http://schemas.microsoft.com/office/drawing/2014/main" id="{E372999E-8902-8762-A537-84B6A2D2A4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411480</xdr:colOff>
      <xdr:row>4</xdr:row>
      <xdr:rowOff>129540</xdr:rowOff>
    </xdr:from>
    <xdr:to>
      <xdr:col>11</xdr:col>
      <xdr:colOff>571500</xdr:colOff>
      <xdr:row>29</xdr:row>
      <xdr:rowOff>60960</xdr:rowOff>
    </xdr:to>
    <xdr:graphicFrame macro="">
      <xdr:nvGraphicFramePr>
        <xdr:cNvPr id="2" name="Chart 1">
          <a:extLst>
            <a:ext uri="{FF2B5EF4-FFF2-40B4-BE49-F238E27FC236}">
              <a16:creationId xmlns:a16="http://schemas.microsoft.com/office/drawing/2014/main" id="{95857EEF-29A5-756C-661A-E24D71001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53340</xdr:colOff>
      <xdr:row>1</xdr:row>
      <xdr:rowOff>15240</xdr:rowOff>
    </xdr:from>
    <xdr:to>
      <xdr:col>18</xdr:col>
      <xdr:colOff>388620</xdr:colOff>
      <xdr:row>6</xdr:row>
      <xdr:rowOff>99060</xdr:rowOff>
    </xdr:to>
    <xdr:sp macro="" textlink="">
      <xdr:nvSpPr>
        <xdr:cNvPr id="2" name="Rectangle 1">
          <a:extLst>
            <a:ext uri="{FF2B5EF4-FFF2-40B4-BE49-F238E27FC236}">
              <a16:creationId xmlns:a16="http://schemas.microsoft.com/office/drawing/2014/main" id="{8286A3F7-6A34-4196-48DC-EE7EC477FE3A}"/>
            </a:ext>
          </a:extLst>
        </xdr:cNvPr>
        <xdr:cNvSpPr/>
      </xdr:nvSpPr>
      <xdr:spPr>
        <a:xfrm>
          <a:off x="1882140" y="198120"/>
          <a:ext cx="9479280" cy="998220"/>
        </a:xfrm>
        <a:prstGeom prst="rect">
          <a:avLst/>
        </a:prstGeom>
        <a:solidFill>
          <a:srgbClr val="FFCC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a:solidFill>
              <a:schemeClr val="tx1"/>
            </a:solidFill>
            <a:latin typeface="Times New Roman" panose="02020603050405020304" pitchFamily="18" charset="0"/>
            <a:cs typeface="Times New Roman" panose="02020603050405020304" pitchFamily="18" charset="0"/>
          </a:endParaRPr>
        </a:p>
        <a:p>
          <a:pPr algn="ctr"/>
          <a:r>
            <a:rPr lang="en-IN" sz="2000" b="1">
              <a:solidFill>
                <a:schemeClr val="tx1"/>
              </a:solidFill>
              <a:latin typeface="Times New Roman" panose="02020603050405020304" pitchFamily="18" charset="0"/>
              <a:cs typeface="Times New Roman" panose="02020603050405020304" pitchFamily="18" charset="0"/>
            </a:rPr>
            <a:t>NYKAA CUSTOMER INSIGHTS DASHBOARD: S-O-R MODEL ANALYSIS</a:t>
          </a:r>
        </a:p>
      </xdr:txBody>
    </xdr:sp>
    <xdr:clientData/>
  </xdr:twoCellAnchor>
  <xdr:twoCellAnchor>
    <xdr:from>
      <xdr:col>7</xdr:col>
      <xdr:colOff>0</xdr:colOff>
      <xdr:row>7</xdr:row>
      <xdr:rowOff>0</xdr:rowOff>
    </xdr:from>
    <xdr:to>
      <xdr:col>10</xdr:col>
      <xdr:colOff>426720</xdr:colOff>
      <xdr:row>20</xdr:row>
      <xdr:rowOff>91440</xdr:rowOff>
    </xdr:to>
    <xdr:sp macro="" textlink="">
      <xdr:nvSpPr>
        <xdr:cNvPr id="5" name="Rectangle: Rounded Corners 4">
          <a:extLst>
            <a:ext uri="{FF2B5EF4-FFF2-40B4-BE49-F238E27FC236}">
              <a16:creationId xmlns:a16="http://schemas.microsoft.com/office/drawing/2014/main" id="{4A6B8EBA-35DF-4F97-9B7F-5939C3E55BA9}"/>
            </a:ext>
          </a:extLst>
        </xdr:cNvPr>
        <xdr:cNvSpPr/>
      </xdr:nvSpPr>
      <xdr:spPr>
        <a:xfrm>
          <a:off x="4267200" y="1280160"/>
          <a:ext cx="2255520" cy="246888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7</xdr:row>
      <xdr:rowOff>0</xdr:rowOff>
    </xdr:from>
    <xdr:to>
      <xdr:col>6</xdr:col>
      <xdr:colOff>426720</xdr:colOff>
      <xdr:row>20</xdr:row>
      <xdr:rowOff>91440</xdr:rowOff>
    </xdr:to>
    <xdr:sp macro="" textlink="">
      <xdr:nvSpPr>
        <xdr:cNvPr id="6" name="Rectangle: Rounded Corners 5">
          <a:extLst>
            <a:ext uri="{FF2B5EF4-FFF2-40B4-BE49-F238E27FC236}">
              <a16:creationId xmlns:a16="http://schemas.microsoft.com/office/drawing/2014/main" id="{8F65CCC8-DCB4-4518-9E56-208073E3DC6A}"/>
            </a:ext>
          </a:extLst>
        </xdr:cNvPr>
        <xdr:cNvSpPr/>
      </xdr:nvSpPr>
      <xdr:spPr>
        <a:xfrm>
          <a:off x="1828800" y="1280160"/>
          <a:ext cx="2255520" cy="246888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0</xdr:colOff>
      <xdr:row>7</xdr:row>
      <xdr:rowOff>0</xdr:rowOff>
    </xdr:from>
    <xdr:to>
      <xdr:col>14</xdr:col>
      <xdr:colOff>426720</xdr:colOff>
      <xdr:row>20</xdr:row>
      <xdr:rowOff>91440</xdr:rowOff>
    </xdr:to>
    <xdr:sp macro="" textlink="">
      <xdr:nvSpPr>
        <xdr:cNvPr id="7" name="Rectangle: Rounded Corners 6">
          <a:extLst>
            <a:ext uri="{FF2B5EF4-FFF2-40B4-BE49-F238E27FC236}">
              <a16:creationId xmlns:a16="http://schemas.microsoft.com/office/drawing/2014/main" id="{2BA4FE59-B2C9-42FC-92AA-04C94F83061F}"/>
            </a:ext>
          </a:extLst>
        </xdr:cNvPr>
        <xdr:cNvSpPr/>
      </xdr:nvSpPr>
      <xdr:spPr>
        <a:xfrm>
          <a:off x="6705600" y="1280160"/>
          <a:ext cx="2255520" cy="246888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0</xdr:colOff>
      <xdr:row>7</xdr:row>
      <xdr:rowOff>0</xdr:rowOff>
    </xdr:from>
    <xdr:to>
      <xdr:col>18</xdr:col>
      <xdr:colOff>426720</xdr:colOff>
      <xdr:row>20</xdr:row>
      <xdr:rowOff>91440</xdr:rowOff>
    </xdr:to>
    <xdr:sp macro="" textlink="">
      <xdr:nvSpPr>
        <xdr:cNvPr id="8" name="Rectangle: Rounded Corners 7">
          <a:extLst>
            <a:ext uri="{FF2B5EF4-FFF2-40B4-BE49-F238E27FC236}">
              <a16:creationId xmlns:a16="http://schemas.microsoft.com/office/drawing/2014/main" id="{2F11FE25-0E12-4402-BC99-B483BE2051AF}"/>
            </a:ext>
          </a:extLst>
        </xdr:cNvPr>
        <xdr:cNvSpPr/>
      </xdr:nvSpPr>
      <xdr:spPr>
        <a:xfrm>
          <a:off x="9144000" y="1280160"/>
          <a:ext cx="2255520" cy="2468880"/>
        </a:xfrm>
        <a:prstGeom prst="round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533400</xdr:colOff>
      <xdr:row>8</xdr:row>
      <xdr:rowOff>129540</xdr:rowOff>
    </xdr:from>
    <xdr:to>
      <xdr:col>5</xdr:col>
      <xdr:colOff>388620</xdr:colOff>
      <xdr:row>11</xdr:row>
      <xdr:rowOff>99060</xdr:rowOff>
    </xdr:to>
    <xdr:sp macro="" textlink="">
      <xdr:nvSpPr>
        <xdr:cNvPr id="9" name="TextBox 8">
          <a:extLst>
            <a:ext uri="{FF2B5EF4-FFF2-40B4-BE49-F238E27FC236}">
              <a16:creationId xmlns:a16="http://schemas.microsoft.com/office/drawing/2014/main" id="{8E65DFEF-55A6-E39C-D5ED-8C5DC7B6122D}"/>
            </a:ext>
          </a:extLst>
        </xdr:cNvPr>
        <xdr:cNvSpPr txBox="1"/>
      </xdr:nvSpPr>
      <xdr:spPr>
        <a:xfrm>
          <a:off x="2362200" y="1592580"/>
          <a:ext cx="107442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Times New Roman" panose="02020603050405020304" pitchFamily="18" charset="0"/>
              <a:cs typeface="Times New Roman" panose="02020603050405020304" pitchFamily="18" charset="0"/>
            </a:rPr>
            <a:t>Total</a:t>
          </a:r>
        </a:p>
        <a:p>
          <a:pPr algn="ctr"/>
          <a:r>
            <a:rPr lang="en-IN" sz="1100" b="1">
              <a:latin typeface="Times New Roman" panose="02020603050405020304" pitchFamily="18" charset="0"/>
              <a:cs typeface="Times New Roman" panose="02020603050405020304" pitchFamily="18" charset="0"/>
            </a:rPr>
            <a:t>respondents</a:t>
          </a:r>
        </a:p>
      </xdr:txBody>
    </xdr:sp>
    <xdr:clientData/>
  </xdr:twoCellAnchor>
  <xdr:twoCellAnchor>
    <xdr:from>
      <xdr:col>7</xdr:col>
      <xdr:colOff>533400</xdr:colOff>
      <xdr:row>8</xdr:row>
      <xdr:rowOff>167640</xdr:rowOff>
    </xdr:from>
    <xdr:to>
      <xdr:col>9</xdr:col>
      <xdr:colOff>388620</xdr:colOff>
      <xdr:row>11</xdr:row>
      <xdr:rowOff>137160</xdr:rowOff>
    </xdr:to>
    <xdr:sp macro="" textlink="">
      <xdr:nvSpPr>
        <xdr:cNvPr id="14" name="TextBox 13">
          <a:extLst>
            <a:ext uri="{FF2B5EF4-FFF2-40B4-BE49-F238E27FC236}">
              <a16:creationId xmlns:a16="http://schemas.microsoft.com/office/drawing/2014/main" id="{646645BD-E7C1-4EFA-BC48-3EE46DE60E03}"/>
            </a:ext>
          </a:extLst>
        </xdr:cNvPr>
        <xdr:cNvSpPr txBox="1"/>
      </xdr:nvSpPr>
      <xdr:spPr>
        <a:xfrm>
          <a:off x="4800600" y="1630680"/>
          <a:ext cx="107442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Times New Roman" panose="02020603050405020304" pitchFamily="18" charset="0"/>
              <a:cs typeface="Times New Roman" panose="02020603050405020304" pitchFamily="18" charset="0"/>
            </a:rPr>
            <a:t>Average</a:t>
          </a:r>
        </a:p>
        <a:p>
          <a:pPr algn="ctr"/>
          <a:r>
            <a:rPr lang="en-IN" sz="1100" b="1">
              <a:latin typeface="Times New Roman" panose="02020603050405020304" pitchFamily="18" charset="0"/>
              <a:cs typeface="Times New Roman" panose="02020603050405020304" pitchFamily="18" charset="0"/>
            </a:rPr>
            <a:t>loyalty</a:t>
          </a:r>
          <a:r>
            <a:rPr lang="en-IN" sz="1100" b="1" baseline="0">
              <a:latin typeface="Times New Roman" panose="02020603050405020304" pitchFamily="18" charset="0"/>
              <a:cs typeface="Times New Roman" panose="02020603050405020304" pitchFamily="18" charset="0"/>
            </a:rPr>
            <a:t> score</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11</xdr:col>
      <xdr:colOff>586740</xdr:colOff>
      <xdr:row>9</xdr:row>
      <xdr:rowOff>0</xdr:rowOff>
    </xdr:from>
    <xdr:to>
      <xdr:col>13</xdr:col>
      <xdr:colOff>441960</xdr:colOff>
      <xdr:row>11</xdr:row>
      <xdr:rowOff>152400</xdr:rowOff>
    </xdr:to>
    <xdr:sp macro="" textlink="">
      <xdr:nvSpPr>
        <xdr:cNvPr id="15" name="TextBox 14">
          <a:extLst>
            <a:ext uri="{FF2B5EF4-FFF2-40B4-BE49-F238E27FC236}">
              <a16:creationId xmlns:a16="http://schemas.microsoft.com/office/drawing/2014/main" id="{FA25FF4B-391D-4D3B-A915-BEF38E4F713C}"/>
            </a:ext>
          </a:extLst>
        </xdr:cNvPr>
        <xdr:cNvSpPr txBox="1"/>
      </xdr:nvSpPr>
      <xdr:spPr>
        <a:xfrm>
          <a:off x="7292340" y="1645920"/>
          <a:ext cx="107442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Times New Roman" panose="02020603050405020304" pitchFamily="18" charset="0"/>
              <a:cs typeface="Times New Roman" panose="02020603050405020304" pitchFamily="18" charset="0"/>
            </a:rPr>
            <a:t>Main</a:t>
          </a:r>
          <a:r>
            <a:rPr lang="en-IN" sz="1100" b="1" baseline="0">
              <a:latin typeface="Times New Roman" panose="02020603050405020304" pitchFamily="18" charset="0"/>
              <a:cs typeface="Times New Roman" panose="02020603050405020304" pitchFamily="18" charset="0"/>
            </a:rPr>
            <a:t> loyalty driver</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16</xdr:col>
      <xdr:colOff>45720</xdr:colOff>
      <xdr:row>9</xdr:row>
      <xdr:rowOff>0</xdr:rowOff>
    </xdr:from>
    <xdr:to>
      <xdr:col>17</xdr:col>
      <xdr:colOff>510540</xdr:colOff>
      <xdr:row>11</xdr:row>
      <xdr:rowOff>152400</xdr:rowOff>
    </xdr:to>
    <xdr:sp macro="" textlink="">
      <xdr:nvSpPr>
        <xdr:cNvPr id="16" name="TextBox 15">
          <a:extLst>
            <a:ext uri="{FF2B5EF4-FFF2-40B4-BE49-F238E27FC236}">
              <a16:creationId xmlns:a16="http://schemas.microsoft.com/office/drawing/2014/main" id="{49DB1180-A286-420D-9060-B4DA4A2BBB3F}"/>
            </a:ext>
          </a:extLst>
        </xdr:cNvPr>
        <xdr:cNvSpPr txBox="1"/>
      </xdr:nvSpPr>
      <xdr:spPr>
        <a:xfrm>
          <a:off x="9799320" y="1645920"/>
          <a:ext cx="107442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latin typeface="Times New Roman" panose="02020603050405020304" pitchFamily="18" charset="0"/>
              <a:cs typeface="Times New Roman" panose="02020603050405020304" pitchFamily="18" charset="0"/>
            </a:rPr>
            <a:t>S-R</a:t>
          </a:r>
        </a:p>
        <a:p>
          <a:pPr algn="ctr"/>
          <a:r>
            <a:rPr lang="en-IN" sz="1100" b="1">
              <a:latin typeface="Times New Roman" panose="02020603050405020304" pitchFamily="18" charset="0"/>
              <a:cs typeface="Times New Roman" panose="02020603050405020304" pitchFamily="18" charset="0"/>
            </a:rPr>
            <a:t>correlation</a:t>
          </a:r>
        </a:p>
      </xdr:txBody>
    </xdr:sp>
    <xdr:clientData/>
  </xdr:twoCellAnchor>
  <xdr:twoCellAnchor>
    <xdr:from>
      <xdr:col>3</xdr:col>
      <xdr:colOff>601980</xdr:colOff>
      <xdr:row>13</xdr:row>
      <xdr:rowOff>167640</xdr:rowOff>
    </xdr:from>
    <xdr:to>
      <xdr:col>5</xdr:col>
      <xdr:colOff>457200</xdr:colOff>
      <xdr:row>16</xdr:row>
      <xdr:rowOff>137160</xdr:rowOff>
    </xdr:to>
    <xdr:sp macro="" textlink="">
      <xdr:nvSpPr>
        <xdr:cNvPr id="17" name="TextBox 16">
          <a:extLst>
            <a:ext uri="{FF2B5EF4-FFF2-40B4-BE49-F238E27FC236}">
              <a16:creationId xmlns:a16="http://schemas.microsoft.com/office/drawing/2014/main" id="{47AD15ED-3EB1-4943-A7F4-FE0E52510F36}"/>
            </a:ext>
          </a:extLst>
        </xdr:cNvPr>
        <xdr:cNvSpPr txBox="1"/>
      </xdr:nvSpPr>
      <xdr:spPr>
        <a:xfrm>
          <a:off x="2430780" y="2545080"/>
          <a:ext cx="107442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105</a:t>
          </a:r>
        </a:p>
        <a:p>
          <a:r>
            <a:rPr lang="en-IN" sz="1100" b="1">
              <a:latin typeface="Times New Roman" panose="02020603050405020304" pitchFamily="18" charset="0"/>
              <a:cs typeface="Times New Roman" panose="02020603050405020304" pitchFamily="18" charset="0"/>
            </a:rPr>
            <a:t>respondents</a:t>
          </a:r>
        </a:p>
      </xdr:txBody>
    </xdr:sp>
    <xdr:clientData/>
  </xdr:twoCellAnchor>
  <xdr:twoCellAnchor>
    <xdr:from>
      <xdr:col>8</xdr:col>
      <xdr:colOff>0</xdr:colOff>
      <xdr:row>13</xdr:row>
      <xdr:rowOff>83820</xdr:rowOff>
    </xdr:from>
    <xdr:to>
      <xdr:col>9</xdr:col>
      <xdr:colOff>464820</xdr:colOff>
      <xdr:row>16</xdr:row>
      <xdr:rowOff>53340</xdr:rowOff>
    </xdr:to>
    <xdr:sp macro="" textlink="">
      <xdr:nvSpPr>
        <xdr:cNvPr id="18" name="TextBox 17">
          <a:extLst>
            <a:ext uri="{FF2B5EF4-FFF2-40B4-BE49-F238E27FC236}">
              <a16:creationId xmlns:a16="http://schemas.microsoft.com/office/drawing/2014/main" id="{C283C2FF-17F9-4043-82DA-3C621CA34DF5}"/>
            </a:ext>
          </a:extLst>
        </xdr:cNvPr>
        <xdr:cNvSpPr txBox="1"/>
      </xdr:nvSpPr>
      <xdr:spPr>
        <a:xfrm>
          <a:off x="4876800" y="2461260"/>
          <a:ext cx="107442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Value =</a:t>
          </a:r>
          <a:r>
            <a:rPr lang="en-IN" sz="1100" b="1" baseline="0">
              <a:latin typeface="Times New Roman" panose="02020603050405020304" pitchFamily="18" charset="0"/>
              <a:cs typeface="Times New Roman" panose="02020603050405020304" pitchFamily="18" charset="0"/>
            </a:rPr>
            <a:t> 3.6</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12</xdr:col>
      <xdr:colOff>15240</xdr:colOff>
      <xdr:row>13</xdr:row>
      <xdr:rowOff>76200</xdr:rowOff>
    </xdr:from>
    <xdr:to>
      <xdr:col>13</xdr:col>
      <xdr:colOff>502920</xdr:colOff>
      <xdr:row>17</xdr:row>
      <xdr:rowOff>0</xdr:rowOff>
    </xdr:to>
    <xdr:sp macro="" textlink="">
      <xdr:nvSpPr>
        <xdr:cNvPr id="19" name="TextBox 18">
          <a:extLst>
            <a:ext uri="{FF2B5EF4-FFF2-40B4-BE49-F238E27FC236}">
              <a16:creationId xmlns:a16="http://schemas.microsoft.com/office/drawing/2014/main" id="{56FC2100-6974-42C2-91C3-34BBF84C5DF1}"/>
            </a:ext>
          </a:extLst>
        </xdr:cNvPr>
        <xdr:cNvSpPr txBox="1"/>
      </xdr:nvSpPr>
      <xdr:spPr>
        <a:xfrm>
          <a:off x="7330440" y="2453640"/>
          <a:ext cx="1097280" cy="655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Product</a:t>
          </a:r>
          <a:endParaRPr lang="en-IN" sz="1100" b="1" baseline="0">
            <a:latin typeface="Times New Roman" panose="02020603050405020304" pitchFamily="18" charset="0"/>
            <a:cs typeface="Times New Roman" panose="02020603050405020304" pitchFamily="18" charset="0"/>
          </a:endParaRPr>
        </a:p>
        <a:p>
          <a:r>
            <a:rPr lang="en-IN" sz="1100" b="1" baseline="0">
              <a:latin typeface="Times New Roman" panose="02020603050405020304" pitchFamily="18" charset="0"/>
              <a:cs typeface="Times New Roman" panose="02020603050405020304" pitchFamily="18" charset="0"/>
            </a:rPr>
            <a:t>Quality and Ads appeal</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16</xdr:col>
      <xdr:colOff>53340</xdr:colOff>
      <xdr:row>13</xdr:row>
      <xdr:rowOff>53340</xdr:rowOff>
    </xdr:from>
    <xdr:to>
      <xdr:col>17</xdr:col>
      <xdr:colOff>518160</xdr:colOff>
      <xdr:row>16</xdr:row>
      <xdr:rowOff>22860</xdr:rowOff>
    </xdr:to>
    <xdr:sp macro="" textlink="">
      <xdr:nvSpPr>
        <xdr:cNvPr id="20" name="TextBox 19">
          <a:extLst>
            <a:ext uri="{FF2B5EF4-FFF2-40B4-BE49-F238E27FC236}">
              <a16:creationId xmlns:a16="http://schemas.microsoft.com/office/drawing/2014/main" id="{DE273638-F281-4366-996E-30B41CB09937}"/>
            </a:ext>
          </a:extLst>
        </xdr:cNvPr>
        <xdr:cNvSpPr txBox="1"/>
      </xdr:nvSpPr>
      <xdr:spPr>
        <a:xfrm>
          <a:off x="9806940" y="2430780"/>
          <a:ext cx="1074420" cy="5181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Value</a:t>
          </a:r>
          <a:r>
            <a:rPr lang="en-IN" sz="1100" b="1" baseline="0">
              <a:latin typeface="Times New Roman" panose="02020603050405020304" pitchFamily="18" charset="0"/>
              <a:cs typeface="Times New Roman" panose="02020603050405020304" pitchFamily="18" charset="0"/>
            </a:rPr>
            <a:t> = 0.75</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3</xdr:col>
      <xdr:colOff>0</xdr:colOff>
      <xdr:row>22</xdr:row>
      <xdr:rowOff>0</xdr:rowOff>
    </xdr:from>
    <xdr:to>
      <xdr:col>11</xdr:col>
      <xdr:colOff>160020</xdr:colOff>
      <xdr:row>46</xdr:row>
      <xdr:rowOff>114300</xdr:rowOff>
    </xdr:to>
    <xdr:graphicFrame macro="">
      <xdr:nvGraphicFramePr>
        <xdr:cNvPr id="28" name="Chart 27">
          <a:extLst>
            <a:ext uri="{FF2B5EF4-FFF2-40B4-BE49-F238E27FC236}">
              <a16:creationId xmlns:a16="http://schemas.microsoft.com/office/drawing/2014/main" id="{0917F3A5-C434-410C-A601-8094237B6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25</xdr:row>
      <xdr:rowOff>0</xdr:rowOff>
    </xdr:from>
    <xdr:to>
      <xdr:col>19</xdr:col>
      <xdr:colOff>304800</xdr:colOff>
      <xdr:row>44</xdr:row>
      <xdr:rowOff>167640</xdr:rowOff>
    </xdr:to>
    <xdr:graphicFrame macro="">
      <xdr:nvGraphicFramePr>
        <xdr:cNvPr id="3" name="Chart 2">
          <a:extLst>
            <a:ext uri="{FF2B5EF4-FFF2-40B4-BE49-F238E27FC236}">
              <a16:creationId xmlns:a16="http://schemas.microsoft.com/office/drawing/2014/main" id="{FE30BC86-8B0F-4FB9-8312-FEDB8A8CFB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15240</xdr:colOff>
      <xdr:row>48</xdr:row>
      <xdr:rowOff>121920</xdr:rowOff>
    </xdr:from>
    <xdr:to>
      <xdr:col>10</xdr:col>
      <xdr:colOff>15240</xdr:colOff>
      <xdr:row>62</xdr:row>
      <xdr:rowOff>28575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4682E894-0725-DE9A-49C2-E729F82BB4E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282440" y="890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Dwivedi" refreshedDate="46133.63565625" createdVersion="8" refreshedVersion="8" minRefreshableVersion="3" recordCount="4" xr:uid="{A6D95273-D309-48CA-82BE-3129668C0243}">
  <cacheSource type="worksheet">
    <worksheetSource ref="A3:B7" sheet="PIVOT STIMULI"/>
  </cacheSource>
  <cacheFields count="2">
    <cacheField name="Row Labels" numFmtId="0">
      <sharedItems count="4">
        <s v="ADS"/>
        <s v="QUALITY"/>
        <s v="VALUE"/>
        <s v="Grand Total"/>
      </sharedItems>
    </cacheField>
    <cacheField name="Average of SCORE" numFmtId="0">
      <sharedItems containsSemiMixedTypes="0" containsString="0" containsNumber="1" minValue="0.64" maxValue="0.7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ya Dwivedi" refreshedDate="46133.675671643519" createdVersion="8" refreshedVersion="8" minRefreshableVersion="3" recordCount="105" xr:uid="{76AFA6D3-C9B2-4488-8D85-5F096F9AC460}">
  <cacheSource type="worksheet">
    <worksheetSource ref="A1:AC1048576" sheet="NUMERICAL DATA"/>
  </cacheSource>
  <cacheFields count="29">
    <cacheField name="Age" numFmtId="0">
      <sharedItems containsString="0" containsBlank="1" containsNumber="1" containsInteger="1" minValue="1" maxValue="4" count="5">
        <n v="2"/>
        <n v="1"/>
        <n v="3"/>
        <n v="4"/>
        <m/>
      </sharedItems>
    </cacheField>
    <cacheField name="Gender" numFmtId="0">
      <sharedItems containsBlank="1" count="3">
        <s v="FEMALE"/>
        <s v="MALE"/>
        <m/>
      </sharedItems>
    </cacheField>
    <cacheField name="Educational Qualification" numFmtId="0">
      <sharedItems containsString="0" containsBlank="1" containsNumber="1" containsInteger="1" minValue="1" maxValue="4"/>
    </cacheField>
    <cacheField name="Frequency of Purchase from Nykaa" numFmtId="0">
      <sharedItems containsString="0" containsBlank="1" containsNumber="1" containsInteger="1" minValue="1" maxValue="4"/>
    </cacheField>
    <cacheField name="Monthly Income" numFmtId="0">
      <sharedItems containsString="0" containsBlank="1" containsNumber="1" containsInteger="1" minValue="1" maxValue="5"/>
    </cacheField>
    <cacheField name="Nykaa offers good value for the money I spend." numFmtId="0">
      <sharedItems containsString="0" containsBlank="1" containsNumber="1" containsInteger="1" minValue="1" maxValue="5"/>
    </cacheField>
    <cacheField name="The prices on Nykaa are reasonable compared to other online beauty platforms." numFmtId="0">
      <sharedItems containsString="0" containsBlank="1" containsNumber="1" containsInteger="1" minValue="1" maxValue="5"/>
    </cacheField>
    <cacheField name="Discounts and offers on Nykaa make shopping more worthwhile." numFmtId="0">
      <sharedItems containsString="0" containsBlank="1" containsNumber="1" containsInteger="1" minValue="1" maxValue="5"/>
    </cacheField>
    <cacheField name="Nykaa provides a good balance between price and product benefits." numFmtId="0">
      <sharedItems containsString="0" containsBlank="1" containsNumber="1" containsInteger="1" minValue="1" maxValue="5"/>
    </cacheField>
    <cacheField name="Overall, shopping on Nykaa feels economically beneficial to me." numFmtId="0">
      <sharedItems containsString="0" containsBlank="1" containsNumber="1" containsInteger="1" minValue="1" maxValue="5"/>
    </cacheField>
    <cacheField name="PERCEIVED VALUE (STIMULUS-1)" numFmtId="0">
      <sharedItems containsString="0" containsBlank="1" containsNumber="1" minValue="1.4" maxValue="5"/>
    </cacheField>
    <cacheField name="Products purchased from Nykaa are of high quality." numFmtId="0">
      <sharedItems containsString="0" containsBlank="1" containsNumber="1" containsInteger="1" minValue="1" maxValue="5"/>
    </cacheField>
    <cacheField name="Nykaa provides genuine and authentic beauty products." numFmtId="0">
      <sharedItems containsString="0" containsBlank="1" containsNumber="1" containsInteger="1" minValue="1" maxValue="5"/>
    </cacheField>
    <cacheField name="The products I buy from Nykaa meet my expectations." numFmtId="0">
      <sharedItems containsString="0" containsBlank="1" containsNumber="1" containsInteger="1" minValue="1" maxValue="5"/>
    </cacheField>
    <cacheField name="Nykaa offers safe and reliable beauty products." numFmtId="0">
      <sharedItems containsString="0" containsBlank="1" containsNumber="1" containsInteger="1" minValue="1" maxValue="5"/>
    </cacheField>
    <cacheField name="I trust the quality standards followed by Nykaa." numFmtId="0">
      <sharedItems containsString="0" containsBlank="1" containsNumber="1" containsInteger="1" minValue="1" maxValue="5"/>
    </cacheField>
    <cacheField name=" PRODUCT QUALITY(STIMULUS-S2)" numFmtId="0">
      <sharedItems containsString="0" containsBlank="1" containsNumber="1" minValue="1" maxValue="5"/>
    </cacheField>
    <cacheField name="Nykaa’s advertisements are visually attractive." numFmtId="0">
      <sharedItems containsString="0" containsBlank="1" containsNumber="1" containsInteger="1" minValue="1" maxValue="5"/>
    </cacheField>
    <cacheField name="Advertisements by Nykaa create a positive impression in my mind." numFmtId="0">
      <sharedItems containsString="0" containsBlank="1" containsNumber="1" containsInteger="1" minValue="1" maxValue="5"/>
    </cacheField>
    <cacheField name="Influencer promotions by Nykaa make the brand more appealing." numFmtId="0">
      <sharedItems containsString="0" containsBlank="1" containsNumber="1" containsInteger="1" minValue="1" maxValue="5"/>
    </cacheField>
    <cacheField name="Nykaa’s advertisements are informative and engaging." numFmtId="0">
      <sharedItems containsString="0" containsBlank="1" containsNumber="1" containsInteger="1" minValue="1" maxValue="5"/>
    </cacheField>
    <cacheField name="Advertisements encourage me to explore or purchase products from Nykaa." numFmtId="0">
      <sharedItems containsString="0" containsBlank="1" containsNumber="1" containsInteger="1" minValue="1" maxValue="5"/>
    </cacheField>
    <cacheField name="ADVERTISEMENT APPEAL(STIMULUS-3)" numFmtId="0">
      <sharedItems containsString="0" containsBlank="1" containsNumber="1" minValue="1" maxValue="5"/>
    </cacheField>
    <cacheField name="I intend to continue purchasing from Nykaa in the future." numFmtId="0">
      <sharedItems containsString="0" containsBlank="1" containsNumber="1" containsInteger="1" minValue="1" maxValue="5"/>
    </cacheField>
    <cacheField name="I prefer Nykaa over other online beauty platforms." numFmtId="0">
      <sharedItems containsString="0" containsBlank="1" containsNumber="1" containsInteger="1" minValue="1" maxValue="5"/>
    </cacheField>
    <cacheField name="I would recommend Nykaa to friends and family." numFmtId="0">
      <sharedItems containsString="0" containsBlank="1" containsNumber="1" containsInteger="1" minValue="1" maxValue="5"/>
    </cacheField>
    <cacheField name="I consider myself a loyal customer of Nykaa." numFmtId="0">
      <sharedItems containsString="0" containsBlank="1" containsNumber="1" containsInteger="1" minValue="1" maxValue="5"/>
    </cacheField>
    <cacheField name="I feel emotionally connected to the Nykaa brand." numFmtId="0">
      <sharedItems containsString="0" containsBlank="1" containsNumber="1" containsInteger="1" minValue="1" maxValue="5"/>
    </cacheField>
    <cacheField name="CUTOMER LOYALTY(RESPONSE-R)" numFmtId="0">
      <sharedItems containsString="0" containsBlank="1" containsNumber="1" minValue="1" maxValue="5"/>
    </cacheField>
  </cacheFields>
  <extLst>
    <ext xmlns:x14="http://schemas.microsoft.com/office/spreadsheetml/2009/9/main" uri="{725AE2AE-9491-48be-B2B4-4EB974FC3084}">
      <x14:pivotCacheDefinition pivotCacheId="1540558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0.75"/>
  </r>
  <r>
    <x v="1"/>
    <n v="0.75"/>
  </r>
  <r>
    <x v="2"/>
    <n v="0.64"/>
  </r>
  <r>
    <x v="3"/>
    <n v="0.713333333333333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x v="0"/>
    <x v="0"/>
    <n v="1"/>
    <n v="3"/>
    <n v="1"/>
    <n v="4"/>
    <n v="3"/>
    <n v="3"/>
    <n v="4"/>
    <n v="3"/>
    <n v="3.4"/>
    <n v="5"/>
    <n v="5"/>
    <n v="4"/>
    <n v="4"/>
    <n v="4"/>
    <n v="4.4000000000000004"/>
    <n v="5"/>
    <n v="4"/>
    <n v="4"/>
    <n v="3"/>
    <n v="3"/>
    <n v="3.8"/>
    <n v="4"/>
    <n v="3"/>
    <n v="5"/>
    <n v="3"/>
    <n v="2"/>
    <n v="3.4"/>
  </r>
  <r>
    <x v="0"/>
    <x v="1"/>
    <n v="2"/>
    <n v="3"/>
    <n v="1"/>
    <n v="3"/>
    <n v="3"/>
    <n v="3"/>
    <n v="3"/>
    <n v="3"/>
    <n v="3"/>
    <n v="3"/>
    <n v="3"/>
    <n v="3"/>
    <n v="3"/>
    <n v="3"/>
    <n v="3"/>
    <n v="3"/>
    <n v="3"/>
    <n v="3"/>
    <n v="3"/>
    <n v="3"/>
    <n v="3"/>
    <n v="3"/>
    <n v="3"/>
    <n v="3"/>
    <n v="3"/>
    <n v="3"/>
    <n v="3"/>
  </r>
  <r>
    <x v="1"/>
    <x v="0"/>
    <n v="1"/>
    <n v="3"/>
    <n v="1"/>
    <n v="4"/>
    <n v="4"/>
    <n v="4"/>
    <n v="4"/>
    <n v="4"/>
    <n v="4"/>
    <n v="4"/>
    <n v="4"/>
    <n v="4"/>
    <n v="5"/>
    <n v="4"/>
    <n v="4.2"/>
    <n v="4"/>
    <n v="5"/>
    <n v="3"/>
    <n v="3"/>
    <n v="3"/>
    <n v="3.6"/>
    <n v="4"/>
    <n v="4"/>
    <n v="4"/>
    <n v="4"/>
    <n v="4"/>
    <n v="4"/>
  </r>
  <r>
    <x v="0"/>
    <x v="0"/>
    <n v="1"/>
    <n v="3"/>
    <n v="1"/>
    <n v="5"/>
    <n v="4"/>
    <n v="4"/>
    <n v="4"/>
    <n v="4"/>
    <n v="4.2"/>
    <n v="5"/>
    <n v="5"/>
    <n v="5"/>
    <n v="4"/>
    <n v="5"/>
    <n v="4.8"/>
    <n v="4"/>
    <n v="4"/>
    <n v="4"/>
    <n v="4"/>
    <n v="4"/>
    <n v="4"/>
    <n v="5"/>
    <n v="5"/>
    <n v="5"/>
    <n v="4"/>
    <n v="4"/>
    <n v="4.5999999999999996"/>
  </r>
  <r>
    <x v="0"/>
    <x v="0"/>
    <n v="1"/>
    <n v="2"/>
    <n v="2"/>
    <n v="3"/>
    <n v="3"/>
    <n v="4"/>
    <n v="3"/>
    <n v="3"/>
    <n v="3.2"/>
    <n v="4"/>
    <n v="4"/>
    <n v="4"/>
    <n v="4"/>
    <n v="4"/>
    <n v="4"/>
    <n v="4"/>
    <n v="4"/>
    <n v="4"/>
    <n v="4"/>
    <n v="2"/>
    <n v="3.6"/>
    <n v="4"/>
    <n v="2"/>
    <n v="3"/>
    <n v="2"/>
    <n v="2"/>
    <n v="2.6"/>
  </r>
  <r>
    <x v="0"/>
    <x v="0"/>
    <n v="1"/>
    <n v="4"/>
    <n v="5"/>
    <n v="4"/>
    <n v="4"/>
    <n v="4"/>
    <n v="4"/>
    <n v="4"/>
    <n v="4"/>
    <n v="5"/>
    <n v="5"/>
    <n v="5"/>
    <n v="5"/>
    <n v="5"/>
    <n v="5"/>
    <n v="5"/>
    <n v="5"/>
    <n v="5"/>
    <n v="5"/>
    <n v="5"/>
    <n v="5"/>
    <n v="5"/>
    <n v="5"/>
    <n v="5"/>
    <n v="5"/>
    <n v="5"/>
    <n v="5"/>
  </r>
  <r>
    <x v="0"/>
    <x v="0"/>
    <n v="2"/>
    <n v="2"/>
    <n v="2"/>
    <n v="4"/>
    <n v="3"/>
    <n v="4"/>
    <n v="4"/>
    <n v="5"/>
    <n v="4"/>
    <n v="5"/>
    <n v="5"/>
    <n v="5"/>
    <n v="5"/>
    <n v="5"/>
    <n v="5"/>
    <n v="5"/>
    <n v="5"/>
    <n v="5"/>
    <n v="5"/>
    <n v="4"/>
    <n v="4.8"/>
    <n v="4"/>
    <n v="4"/>
    <n v="5"/>
    <n v="3"/>
    <n v="4"/>
    <n v="4"/>
  </r>
  <r>
    <x v="0"/>
    <x v="0"/>
    <n v="2"/>
    <n v="1"/>
    <n v="1"/>
    <n v="4"/>
    <n v="3"/>
    <n v="4"/>
    <n v="3"/>
    <n v="4"/>
    <n v="3.6"/>
    <n v="4"/>
    <n v="4"/>
    <n v="4"/>
    <n v="4"/>
    <n v="4"/>
    <n v="4"/>
    <n v="4"/>
    <n v="4"/>
    <n v="4"/>
    <n v="4"/>
    <n v="4"/>
    <n v="4"/>
    <n v="4"/>
    <n v="4"/>
    <n v="4"/>
    <n v="3"/>
    <n v="2"/>
    <n v="3.4"/>
  </r>
  <r>
    <x v="0"/>
    <x v="1"/>
    <n v="2"/>
    <n v="2"/>
    <n v="2"/>
    <n v="4"/>
    <n v="4"/>
    <n v="4"/>
    <n v="5"/>
    <n v="4"/>
    <n v="4.2"/>
    <n v="4"/>
    <n v="4"/>
    <n v="5"/>
    <n v="4"/>
    <n v="4"/>
    <n v="4.2"/>
    <n v="4"/>
    <n v="4"/>
    <n v="3"/>
    <n v="4"/>
    <n v="3"/>
    <n v="3.6"/>
    <n v="4"/>
    <n v="3"/>
    <n v="4"/>
    <n v="3"/>
    <n v="4"/>
    <n v="3.6"/>
  </r>
  <r>
    <x v="0"/>
    <x v="0"/>
    <n v="2"/>
    <n v="1"/>
    <n v="1"/>
    <n v="3"/>
    <n v="3"/>
    <n v="3"/>
    <n v="3"/>
    <n v="3"/>
    <n v="3"/>
    <n v="3"/>
    <n v="2"/>
    <n v="3"/>
    <n v="3"/>
    <n v="3"/>
    <n v="2.8"/>
    <n v="3"/>
    <n v="3"/>
    <n v="3"/>
    <n v="3"/>
    <n v="3"/>
    <n v="3"/>
    <n v="3"/>
    <n v="3"/>
    <n v="4"/>
    <n v="1"/>
    <n v="1"/>
    <n v="2.4"/>
  </r>
  <r>
    <x v="0"/>
    <x v="0"/>
    <n v="1"/>
    <n v="3"/>
    <n v="1"/>
    <n v="4"/>
    <n v="4"/>
    <n v="4"/>
    <n v="4"/>
    <n v="3"/>
    <n v="3.8"/>
    <n v="4"/>
    <n v="5"/>
    <n v="5"/>
    <n v="5"/>
    <n v="4"/>
    <n v="4.5999999999999996"/>
    <n v="4"/>
    <n v="4"/>
    <n v="4"/>
    <n v="4"/>
    <n v="4"/>
    <n v="4"/>
    <n v="4"/>
    <n v="4"/>
    <n v="4"/>
    <n v="5"/>
    <n v="4"/>
    <n v="4.2"/>
  </r>
  <r>
    <x v="0"/>
    <x v="1"/>
    <n v="2"/>
    <n v="1"/>
    <n v="1"/>
    <n v="3"/>
    <n v="4"/>
    <n v="4"/>
    <n v="4"/>
    <n v="5"/>
    <n v="4"/>
    <n v="4"/>
    <n v="4"/>
    <n v="4"/>
    <n v="4"/>
    <n v="4"/>
    <n v="4"/>
    <n v="4"/>
    <n v="4"/>
    <n v="4"/>
    <n v="4"/>
    <n v="4"/>
    <n v="4"/>
    <n v="4"/>
    <n v="4"/>
    <n v="5"/>
    <n v="5"/>
    <n v="3"/>
    <n v="4.2"/>
  </r>
  <r>
    <x v="0"/>
    <x v="1"/>
    <n v="2"/>
    <n v="1"/>
    <n v="1"/>
    <n v="3"/>
    <n v="3"/>
    <n v="3"/>
    <n v="3"/>
    <n v="3"/>
    <n v="3"/>
    <n v="3"/>
    <n v="3"/>
    <n v="3"/>
    <n v="3"/>
    <n v="3"/>
    <n v="3"/>
    <n v="3"/>
    <n v="3"/>
    <n v="3"/>
    <n v="3"/>
    <n v="3"/>
    <n v="3"/>
    <n v="3"/>
    <n v="3"/>
    <n v="3"/>
    <n v="3"/>
    <n v="3"/>
    <n v="3"/>
  </r>
  <r>
    <x v="0"/>
    <x v="0"/>
    <n v="2"/>
    <n v="2"/>
    <n v="2"/>
    <n v="4"/>
    <n v="4"/>
    <n v="4"/>
    <n v="3"/>
    <n v="3"/>
    <n v="3.6"/>
    <n v="4"/>
    <n v="4"/>
    <n v="4"/>
    <n v="4"/>
    <n v="4"/>
    <n v="4"/>
    <n v="4"/>
    <n v="4"/>
    <n v="4"/>
    <n v="4"/>
    <n v="4"/>
    <n v="4"/>
    <n v="4"/>
    <n v="4"/>
    <n v="4"/>
    <n v="4"/>
    <n v="4"/>
    <n v="4"/>
  </r>
  <r>
    <x v="0"/>
    <x v="1"/>
    <n v="3"/>
    <n v="2"/>
    <n v="4"/>
    <n v="4"/>
    <n v="5"/>
    <n v="5"/>
    <n v="4"/>
    <n v="4"/>
    <n v="4.4000000000000004"/>
    <n v="5"/>
    <n v="4"/>
    <n v="4"/>
    <n v="5"/>
    <n v="5"/>
    <n v="4.5999999999999996"/>
    <n v="5"/>
    <n v="4"/>
    <n v="5"/>
    <n v="3"/>
    <n v="5"/>
    <n v="4.4000000000000004"/>
    <n v="4"/>
    <n v="4"/>
    <n v="4"/>
    <n v="4"/>
    <n v="3"/>
    <n v="3.8"/>
  </r>
  <r>
    <x v="0"/>
    <x v="1"/>
    <n v="2"/>
    <n v="2"/>
    <n v="3"/>
    <n v="4"/>
    <n v="4"/>
    <n v="4"/>
    <n v="4"/>
    <n v="4"/>
    <n v="4"/>
    <n v="4"/>
    <n v="4"/>
    <n v="4"/>
    <n v="3"/>
    <n v="3"/>
    <n v="3.6"/>
    <n v="4"/>
    <n v="4"/>
    <n v="5"/>
    <n v="5"/>
    <n v="4"/>
    <n v="4.4000000000000004"/>
    <n v="3"/>
    <n v="5"/>
    <n v="4"/>
    <n v="3"/>
    <n v="2"/>
    <n v="3.4"/>
  </r>
  <r>
    <x v="0"/>
    <x v="0"/>
    <n v="2"/>
    <n v="1"/>
    <n v="1"/>
    <n v="5"/>
    <n v="5"/>
    <n v="5"/>
    <n v="5"/>
    <n v="5"/>
    <n v="5"/>
    <n v="5"/>
    <n v="5"/>
    <n v="5"/>
    <n v="5"/>
    <n v="5"/>
    <n v="5"/>
    <n v="5"/>
    <n v="5"/>
    <n v="5"/>
    <n v="5"/>
    <n v="5"/>
    <n v="5"/>
    <n v="5"/>
    <n v="5"/>
    <n v="5"/>
    <n v="5"/>
    <n v="5"/>
    <n v="5"/>
  </r>
  <r>
    <x v="0"/>
    <x v="1"/>
    <n v="2"/>
    <n v="2"/>
    <n v="2"/>
    <n v="4"/>
    <n v="4"/>
    <n v="3"/>
    <n v="4"/>
    <n v="4"/>
    <n v="3.8"/>
    <n v="5"/>
    <n v="4"/>
    <n v="5"/>
    <n v="4"/>
    <n v="4"/>
    <n v="4.4000000000000004"/>
    <n v="3"/>
    <n v="4"/>
    <n v="4"/>
    <n v="3"/>
    <n v="4"/>
    <n v="3.6"/>
    <n v="4"/>
    <n v="3"/>
    <n v="5"/>
    <n v="3"/>
    <n v="4"/>
    <n v="3.8"/>
  </r>
  <r>
    <x v="1"/>
    <x v="1"/>
    <n v="1"/>
    <n v="2"/>
    <n v="4"/>
    <n v="2"/>
    <n v="2"/>
    <n v="1"/>
    <n v="1"/>
    <n v="1"/>
    <n v="1.4"/>
    <n v="3"/>
    <n v="2"/>
    <n v="2"/>
    <n v="2"/>
    <n v="2"/>
    <n v="2.2000000000000002"/>
    <n v="2"/>
    <n v="4"/>
    <n v="4"/>
    <n v="4"/>
    <n v="4"/>
    <n v="3.6"/>
    <n v="4"/>
    <n v="3"/>
    <n v="2"/>
    <n v="3"/>
    <n v="3"/>
    <n v="3"/>
  </r>
  <r>
    <x v="0"/>
    <x v="0"/>
    <n v="2"/>
    <n v="2"/>
    <n v="1"/>
    <n v="4"/>
    <n v="4"/>
    <n v="4"/>
    <n v="4"/>
    <n v="4"/>
    <n v="4"/>
    <n v="5"/>
    <n v="5"/>
    <n v="4"/>
    <n v="5"/>
    <n v="5"/>
    <n v="4.8"/>
    <n v="3"/>
    <n v="3"/>
    <n v="4"/>
    <n v="4"/>
    <n v="4"/>
    <n v="3.6"/>
    <n v="5"/>
    <n v="4"/>
    <n v="5"/>
    <n v="4"/>
    <n v="4"/>
    <n v="4.4000000000000004"/>
  </r>
  <r>
    <x v="0"/>
    <x v="1"/>
    <n v="2"/>
    <n v="2"/>
    <n v="4"/>
    <n v="4"/>
    <n v="3"/>
    <n v="3"/>
    <n v="3"/>
    <n v="4"/>
    <n v="3.4"/>
    <n v="3"/>
    <n v="3"/>
    <n v="3"/>
    <n v="4"/>
    <n v="3"/>
    <n v="3.2"/>
    <n v="4"/>
    <n v="5"/>
    <n v="5"/>
    <n v="5"/>
    <n v="4"/>
    <n v="4.5999999999999996"/>
    <n v="5"/>
    <n v="5"/>
    <n v="5"/>
    <n v="4"/>
    <n v="4"/>
    <n v="4.5999999999999996"/>
  </r>
  <r>
    <x v="1"/>
    <x v="0"/>
    <n v="2"/>
    <n v="2"/>
    <n v="1"/>
    <n v="4"/>
    <n v="3"/>
    <n v="4"/>
    <n v="3"/>
    <n v="3"/>
    <n v="3.4"/>
    <n v="4"/>
    <n v="4"/>
    <n v="4"/>
    <n v="4"/>
    <n v="4"/>
    <n v="4"/>
    <n v="5"/>
    <n v="4"/>
    <n v="5"/>
    <n v="4"/>
    <n v="4"/>
    <n v="4.4000000000000004"/>
    <n v="4"/>
    <n v="3"/>
    <n v="4"/>
    <n v="3"/>
    <n v="4"/>
    <n v="3.6"/>
  </r>
  <r>
    <x v="0"/>
    <x v="1"/>
    <n v="2"/>
    <n v="1"/>
    <n v="1"/>
    <n v="5"/>
    <n v="4"/>
    <n v="4"/>
    <n v="4"/>
    <n v="4"/>
    <n v="4.2"/>
    <n v="5"/>
    <n v="5"/>
    <n v="5"/>
    <n v="5"/>
    <n v="5"/>
    <n v="5"/>
    <n v="5"/>
    <n v="5"/>
    <n v="5"/>
    <n v="5"/>
    <n v="4"/>
    <n v="4.8"/>
    <n v="5"/>
    <n v="5"/>
    <n v="5"/>
    <n v="5"/>
    <n v="3"/>
    <n v="4.5999999999999996"/>
  </r>
  <r>
    <x v="0"/>
    <x v="1"/>
    <n v="2"/>
    <n v="3"/>
    <n v="5"/>
    <n v="3"/>
    <n v="3"/>
    <n v="3"/>
    <n v="3"/>
    <n v="3"/>
    <n v="3"/>
    <n v="3"/>
    <n v="3"/>
    <n v="4"/>
    <n v="4"/>
    <n v="4"/>
    <n v="3.6"/>
    <n v="4"/>
    <n v="4"/>
    <n v="4"/>
    <n v="4"/>
    <n v="4"/>
    <n v="4"/>
    <n v="4"/>
    <n v="4"/>
    <n v="4"/>
    <n v="4"/>
    <n v="4"/>
    <n v="4"/>
  </r>
  <r>
    <x v="0"/>
    <x v="0"/>
    <n v="2"/>
    <n v="2"/>
    <n v="5"/>
    <n v="2"/>
    <n v="2"/>
    <n v="3"/>
    <n v="3"/>
    <n v="2"/>
    <n v="2.4"/>
    <n v="4"/>
    <n v="4"/>
    <n v="4"/>
    <n v="3"/>
    <n v="4"/>
    <n v="3.8"/>
    <n v="3"/>
    <n v="4"/>
    <n v="4"/>
    <n v="4"/>
    <n v="4"/>
    <n v="3.8"/>
    <n v="4"/>
    <n v="2"/>
    <n v="3"/>
    <n v="4"/>
    <n v="2"/>
    <n v="3"/>
  </r>
  <r>
    <x v="0"/>
    <x v="0"/>
    <n v="2"/>
    <n v="2"/>
    <n v="1"/>
    <n v="4"/>
    <n v="3"/>
    <n v="4"/>
    <n v="3"/>
    <n v="4"/>
    <n v="3.6"/>
    <n v="4"/>
    <n v="4"/>
    <n v="4"/>
    <n v="4"/>
    <n v="4"/>
    <n v="4"/>
    <n v="3"/>
    <n v="4"/>
    <n v="4"/>
    <n v="4"/>
    <n v="4"/>
    <n v="3.8"/>
    <n v="4"/>
    <n v="4"/>
    <n v="4"/>
    <n v="4"/>
    <n v="3"/>
    <n v="3.8"/>
  </r>
  <r>
    <x v="0"/>
    <x v="0"/>
    <n v="1"/>
    <n v="4"/>
    <n v="1"/>
    <n v="4"/>
    <n v="3"/>
    <n v="4"/>
    <n v="5"/>
    <n v="4"/>
    <n v="4"/>
    <n v="4"/>
    <n v="4"/>
    <n v="4"/>
    <n v="5"/>
    <n v="5"/>
    <n v="4.4000000000000004"/>
    <n v="3"/>
    <n v="3"/>
    <n v="5"/>
    <n v="4"/>
    <n v="4"/>
    <n v="3.8"/>
    <n v="5"/>
    <n v="5"/>
    <n v="5"/>
    <n v="4"/>
    <n v="5"/>
    <n v="4.8"/>
  </r>
  <r>
    <x v="0"/>
    <x v="1"/>
    <n v="3"/>
    <n v="1"/>
    <n v="5"/>
    <n v="1"/>
    <n v="3"/>
    <n v="1"/>
    <n v="2"/>
    <n v="4"/>
    <n v="2.2000000000000002"/>
    <n v="1"/>
    <n v="1"/>
    <n v="3"/>
    <n v="3"/>
    <n v="5"/>
    <n v="2.6"/>
    <n v="1"/>
    <n v="1"/>
    <n v="3"/>
    <n v="5"/>
    <n v="1"/>
    <n v="2.2000000000000002"/>
    <n v="2"/>
    <n v="3"/>
    <n v="4"/>
    <n v="5"/>
    <n v="1"/>
    <n v="3"/>
  </r>
  <r>
    <x v="0"/>
    <x v="0"/>
    <n v="2"/>
    <n v="3"/>
    <n v="1"/>
    <n v="3"/>
    <n v="3"/>
    <n v="2"/>
    <n v="3"/>
    <n v="3"/>
    <n v="2.8"/>
    <n v="3"/>
    <n v="3"/>
    <n v="3"/>
    <n v="3"/>
    <n v="3"/>
    <n v="3"/>
    <n v="3"/>
    <n v="3"/>
    <n v="3"/>
    <n v="3"/>
    <n v="3"/>
    <n v="3"/>
    <n v="3"/>
    <n v="3"/>
    <n v="3"/>
    <n v="3"/>
    <n v="3"/>
    <n v="3"/>
  </r>
  <r>
    <x v="0"/>
    <x v="0"/>
    <n v="1"/>
    <n v="3"/>
    <n v="1"/>
    <n v="4"/>
    <n v="3"/>
    <n v="4"/>
    <n v="5"/>
    <n v="3"/>
    <n v="3.8"/>
    <n v="5"/>
    <n v="5"/>
    <n v="5"/>
    <n v="5"/>
    <n v="5"/>
    <n v="5"/>
    <n v="4"/>
    <n v="5"/>
    <n v="5"/>
    <n v="5"/>
    <n v="5"/>
    <n v="4.8"/>
    <n v="5"/>
    <n v="4"/>
    <n v="5"/>
    <n v="4"/>
    <n v="3"/>
    <n v="4.2"/>
  </r>
  <r>
    <x v="0"/>
    <x v="0"/>
    <n v="1"/>
    <n v="2"/>
    <n v="1"/>
    <n v="4"/>
    <n v="3"/>
    <n v="4"/>
    <n v="4"/>
    <n v="4"/>
    <n v="3.8"/>
    <n v="5"/>
    <n v="5"/>
    <n v="5"/>
    <n v="5"/>
    <n v="5"/>
    <n v="5"/>
    <n v="4"/>
    <n v="4"/>
    <n v="4"/>
    <n v="4"/>
    <n v="4"/>
    <n v="4"/>
    <n v="4"/>
    <n v="4"/>
    <n v="4"/>
    <n v="4"/>
    <n v="4"/>
    <n v="4"/>
  </r>
  <r>
    <x v="0"/>
    <x v="0"/>
    <n v="2"/>
    <n v="2"/>
    <n v="1"/>
    <n v="1"/>
    <n v="3"/>
    <n v="4"/>
    <n v="3"/>
    <n v="4"/>
    <n v="3"/>
    <n v="5"/>
    <n v="4"/>
    <n v="4"/>
    <n v="5"/>
    <n v="4"/>
    <n v="4.4000000000000004"/>
    <n v="4"/>
    <n v="4"/>
    <n v="4"/>
    <n v="4"/>
    <n v="4"/>
    <n v="4"/>
    <n v="4"/>
    <n v="3"/>
    <n v="4"/>
    <n v="3"/>
    <n v="3"/>
    <n v="3.4"/>
  </r>
  <r>
    <x v="0"/>
    <x v="0"/>
    <n v="2"/>
    <n v="2"/>
    <n v="3"/>
    <n v="3"/>
    <n v="3"/>
    <n v="3"/>
    <n v="1"/>
    <n v="2"/>
    <n v="2.4"/>
    <n v="2"/>
    <n v="4"/>
    <n v="3"/>
    <n v="1"/>
    <n v="4"/>
    <n v="2.8"/>
    <n v="2"/>
    <n v="4"/>
    <n v="4"/>
    <n v="3"/>
    <n v="2"/>
    <n v="3"/>
    <n v="3"/>
    <n v="2"/>
    <n v="5"/>
    <n v="4"/>
    <n v="2"/>
    <n v="3.2"/>
  </r>
  <r>
    <x v="0"/>
    <x v="0"/>
    <n v="2"/>
    <n v="1"/>
    <n v="1"/>
    <n v="3"/>
    <n v="2"/>
    <n v="2"/>
    <n v="2"/>
    <n v="3"/>
    <n v="2.4"/>
    <n v="4"/>
    <n v="4"/>
    <n v="4"/>
    <n v="4"/>
    <n v="3"/>
    <n v="3.8"/>
    <n v="4"/>
    <n v="3"/>
    <n v="4"/>
    <n v="3"/>
    <n v="3"/>
    <n v="3.4"/>
    <n v="4"/>
    <n v="3"/>
    <n v="3"/>
    <n v="3"/>
    <n v="3"/>
    <n v="3.2"/>
  </r>
  <r>
    <x v="0"/>
    <x v="0"/>
    <n v="2"/>
    <n v="3"/>
    <n v="1"/>
    <n v="5"/>
    <n v="5"/>
    <n v="5"/>
    <n v="4"/>
    <n v="5"/>
    <n v="4.8"/>
    <n v="5"/>
    <n v="5"/>
    <n v="5"/>
    <n v="5"/>
    <n v="5"/>
    <n v="5"/>
    <n v="3"/>
    <n v="3"/>
    <n v="5"/>
    <n v="3"/>
    <n v="5"/>
    <n v="3.8"/>
    <n v="4"/>
    <n v="3"/>
    <n v="3"/>
    <n v="3"/>
    <n v="2"/>
    <n v="3"/>
  </r>
  <r>
    <x v="0"/>
    <x v="0"/>
    <n v="1"/>
    <n v="4"/>
    <n v="1"/>
    <n v="5"/>
    <n v="4"/>
    <n v="4"/>
    <n v="4"/>
    <n v="4"/>
    <n v="4.2"/>
    <n v="4"/>
    <n v="4"/>
    <n v="4"/>
    <n v="4"/>
    <n v="4"/>
    <n v="4"/>
    <n v="4"/>
    <n v="4"/>
    <n v="4"/>
    <n v="4"/>
    <n v="4"/>
    <n v="4"/>
    <n v="4"/>
    <n v="4"/>
    <n v="4"/>
    <n v="4"/>
    <n v="4"/>
    <n v="4"/>
  </r>
  <r>
    <x v="0"/>
    <x v="0"/>
    <n v="2"/>
    <n v="3"/>
    <n v="2"/>
    <n v="4"/>
    <n v="3"/>
    <n v="3"/>
    <n v="4"/>
    <n v="4"/>
    <n v="3.6"/>
    <n v="5"/>
    <n v="5"/>
    <n v="5"/>
    <n v="5"/>
    <n v="5"/>
    <n v="5"/>
    <n v="5"/>
    <n v="5"/>
    <n v="5"/>
    <n v="5"/>
    <n v="5"/>
    <n v="5"/>
    <n v="5"/>
    <n v="5"/>
    <n v="5"/>
    <n v="5"/>
    <n v="5"/>
    <n v="5"/>
  </r>
  <r>
    <x v="2"/>
    <x v="1"/>
    <n v="3"/>
    <n v="3"/>
    <n v="5"/>
    <n v="5"/>
    <n v="1"/>
    <n v="1"/>
    <n v="1"/>
    <n v="1"/>
    <n v="1.8"/>
    <n v="1"/>
    <n v="1"/>
    <n v="1"/>
    <n v="1"/>
    <n v="1"/>
    <n v="1"/>
    <n v="1"/>
    <n v="1"/>
    <n v="1"/>
    <n v="1"/>
    <n v="1"/>
    <n v="1"/>
    <n v="1"/>
    <n v="1"/>
    <n v="1"/>
    <n v="1"/>
    <n v="1"/>
    <n v="1"/>
  </r>
  <r>
    <x v="2"/>
    <x v="0"/>
    <n v="3"/>
    <n v="4"/>
    <n v="5"/>
    <n v="5"/>
    <n v="5"/>
    <n v="4"/>
    <n v="3"/>
    <n v="5"/>
    <n v="4.4000000000000004"/>
    <n v="5"/>
    <n v="5"/>
    <n v="5"/>
    <n v="5"/>
    <n v="5"/>
    <n v="5"/>
    <n v="5"/>
    <n v="5"/>
    <n v="5"/>
    <n v="5"/>
    <n v="4"/>
    <n v="4.8"/>
    <n v="5"/>
    <n v="5"/>
    <n v="5"/>
    <n v="5"/>
    <n v="5"/>
    <n v="5"/>
  </r>
  <r>
    <x v="3"/>
    <x v="0"/>
    <n v="4"/>
    <n v="4"/>
    <n v="5"/>
    <n v="5"/>
    <n v="1"/>
    <n v="5"/>
    <n v="4"/>
    <n v="5"/>
    <n v="4"/>
    <n v="2"/>
    <n v="4"/>
    <n v="3"/>
    <n v="5"/>
    <n v="5"/>
    <n v="3.8"/>
    <n v="5"/>
    <n v="5"/>
    <n v="5"/>
    <n v="5"/>
    <n v="5"/>
    <n v="5"/>
    <n v="5"/>
    <n v="5"/>
    <n v="3"/>
    <n v="5"/>
    <n v="5"/>
    <n v="4.5999999999999996"/>
  </r>
  <r>
    <x v="0"/>
    <x v="1"/>
    <n v="3"/>
    <n v="2"/>
    <n v="4"/>
    <n v="3"/>
    <n v="3"/>
    <n v="3"/>
    <n v="3"/>
    <n v="3"/>
    <n v="3"/>
    <n v="3"/>
    <n v="3"/>
    <n v="3"/>
    <n v="3"/>
    <n v="3"/>
    <n v="3"/>
    <n v="3"/>
    <n v="3"/>
    <n v="3"/>
    <n v="3"/>
    <n v="3"/>
    <n v="3"/>
    <n v="3"/>
    <n v="3"/>
    <n v="3"/>
    <n v="3"/>
    <n v="3"/>
    <n v="3"/>
  </r>
  <r>
    <x v="3"/>
    <x v="1"/>
    <n v="4"/>
    <n v="4"/>
    <n v="5"/>
    <n v="5"/>
    <n v="5"/>
    <n v="4"/>
    <n v="4"/>
    <n v="1"/>
    <n v="3.8"/>
    <n v="2"/>
    <n v="5"/>
    <n v="3"/>
    <n v="2"/>
    <n v="4"/>
    <n v="3.2"/>
    <n v="5"/>
    <n v="4"/>
    <n v="3"/>
    <n v="5"/>
    <n v="5"/>
    <n v="4.4000000000000004"/>
    <n v="2"/>
    <n v="2"/>
    <n v="3"/>
    <n v="1"/>
    <n v="4"/>
    <n v="2.4"/>
  </r>
  <r>
    <x v="1"/>
    <x v="1"/>
    <n v="1"/>
    <n v="2"/>
    <n v="3"/>
    <n v="2"/>
    <n v="2"/>
    <n v="2"/>
    <n v="2"/>
    <n v="2"/>
    <n v="2"/>
    <n v="2"/>
    <n v="1"/>
    <n v="2"/>
    <n v="3"/>
    <n v="1"/>
    <n v="1.8"/>
    <n v="1"/>
    <n v="2"/>
    <n v="4"/>
    <n v="4"/>
    <n v="4"/>
    <n v="3"/>
    <n v="4"/>
    <n v="5"/>
    <n v="4"/>
    <n v="4"/>
    <n v="5"/>
    <n v="4.4000000000000004"/>
  </r>
  <r>
    <x v="2"/>
    <x v="1"/>
    <n v="3"/>
    <n v="3"/>
    <n v="4"/>
    <n v="3"/>
    <n v="4"/>
    <n v="2"/>
    <n v="3"/>
    <n v="4"/>
    <n v="3.2"/>
    <n v="3"/>
    <n v="3"/>
    <n v="2"/>
    <n v="3"/>
    <n v="4"/>
    <n v="3"/>
    <n v="3"/>
    <n v="4"/>
    <n v="4"/>
    <n v="5"/>
    <n v="5"/>
    <n v="4.2"/>
    <n v="2"/>
    <n v="4"/>
    <n v="5"/>
    <n v="4"/>
    <n v="2"/>
    <n v="3.4"/>
  </r>
  <r>
    <x v="2"/>
    <x v="1"/>
    <n v="2"/>
    <n v="3"/>
    <n v="3"/>
    <n v="4"/>
    <n v="4"/>
    <n v="4"/>
    <n v="3"/>
    <n v="4"/>
    <n v="3.8"/>
    <n v="3"/>
    <n v="3"/>
    <n v="5"/>
    <n v="5"/>
    <n v="4"/>
    <n v="4"/>
    <n v="1"/>
    <n v="4"/>
    <n v="4"/>
    <n v="3"/>
    <n v="4"/>
    <n v="3.2"/>
    <n v="3"/>
    <n v="1"/>
    <n v="4"/>
    <n v="3"/>
    <n v="4"/>
    <n v="3"/>
  </r>
  <r>
    <x v="1"/>
    <x v="1"/>
    <n v="1"/>
    <n v="3"/>
    <n v="3"/>
    <n v="3"/>
    <n v="4"/>
    <n v="2"/>
    <n v="2"/>
    <n v="1"/>
    <n v="2.4"/>
    <n v="3"/>
    <n v="3"/>
    <n v="1"/>
    <n v="3"/>
    <n v="2"/>
    <n v="2.4"/>
    <n v="2"/>
    <n v="3"/>
    <n v="2"/>
    <n v="1"/>
    <n v="1"/>
    <n v="1.8"/>
    <n v="1"/>
    <n v="1"/>
    <n v="1"/>
    <n v="1"/>
    <n v="2"/>
    <n v="1.2"/>
  </r>
  <r>
    <x v="1"/>
    <x v="1"/>
    <n v="1"/>
    <n v="2"/>
    <n v="1"/>
    <n v="4"/>
    <n v="5"/>
    <n v="4"/>
    <n v="5"/>
    <n v="5"/>
    <n v="4.5999999999999996"/>
    <n v="5"/>
    <n v="5"/>
    <n v="5"/>
    <n v="5"/>
    <n v="5"/>
    <n v="5"/>
    <n v="5"/>
    <n v="5"/>
    <n v="5"/>
    <n v="5"/>
    <n v="5"/>
    <n v="5"/>
    <n v="5"/>
    <n v="5"/>
    <n v="5"/>
    <n v="5"/>
    <n v="5"/>
    <n v="5"/>
  </r>
  <r>
    <x v="0"/>
    <x v="1"/>
    <n v="2"/>
    <n v="1"/>
    <n v="5"/>
    <n v="5"/>
    <n v="5"/>
    <n v="5"/>
    <n v="5"/>
    <n v="5"/>
    <n v="5"/>
    <n v="5"/>
    <n v="5"/>
    <n v="5"/>
    <n v="5"/>
    <n v="5"/>
    <n v="5"/>
    <n v="5"/>
    <n v="5"/>
    <n v="5"/>
    <n v="5"/>
    <n v="5"/>
    <n v="5"/>
    <n v="5"/>
    <n v="5"/>
    <n v="5"/>
    <n v="5"/>
    <n v="5"/>
    <n v="5"/>
  </r>
  <r>
    <x v="2"/>
    <x v="0"/>
    <n v="3"/>
    <n v="4"/>
    <n v="5"/>
    <n v="5"/>
    <n v="5"/>
    <n v="5"/>
    <n v="5"/>
    <n v="5"/>
    <n v="5"/>
    <n v="5"/>
    <n v="5"/>
    <n v="5"/>
    <n v="5"/>
    <n v="5"/>
    <n v="5"/>
    <n v="5"/>
    <n v="5"/>
    <n v="5"/>
    <n v="5"/>
    <n v="5"/>
    <n v="5"/>
    <n v="5"/>
    <n v="5"/>
    <n v="5"/>
    <n v="5"/>
    <n v="5"/>
    <n v="5"/>
  </r>
  <r>
    <x v="3"/>
    <x v="1"/>
    <n v="3"/>
    <n v="1"/>
    <n v="5"/>
    <n v="3"/>
    <n v="3"/>
    <n v="3"/>
    <n v="3"/>
    <n v="3"/>
    <n v="3"/>
    <n v="3"/>
    <n v="3"/>
    <n v="3"/>
    <n v="3"/>
    <n v="3"/>
    <n v="3"/>
    <n v="3"/>
    <n v="3"/>
    <n v="3"/>
    <n v="3"/>
    <n v="3"/>
    <n v="3"/>
    <n v="3"/>
    <n v="3"/>
    <n v="3"/>
    <n v="3"/>
    <n v="3"/>
    <n v="3"/>
  </r>
  <r>
    <x v="1"/>
    <x v="0"/>
    <n v="1"/>
    <n v="2"/>
    <n v="1"/>
    <n v="4"/>
    <n v="4"/>
    <n v="3"/>
    <n v="4"/>
    <n v="5"/>
    <n v="4"/>
    <n v="3"/>
    <n v="4"/>
    <n v="4"/>
    <n v="4"/>
    <n v="4"/>
    <n v="3.8"/>
    <n v="5"/>
    <n v="4"/>
    <n v="4"/>
    <n v="4"/>
    <n v="3"/>
    <n v="4"/>
    <n v="3"/>
    <n v="4"/>
    <n v="4"/>
    <n v="4"/>
    <n v="3"/>
    <n v="3.6"/>
  </r>
  <r>
    <x v="0"/>
    <x v="1"/>
    <n v="1"/>
    <n v="1"/>
    <n v="3"/>
    <n v="2"/>
    <n v="3"/>
    <n v="2"/>
    <n v="2"/>
    <n v="1"/>
    <n v="2"/>
    <n v="1"/>
    <n v="1"/>
    <n v="2"/>
    <n v="2"/>
    <n v="3"/>
    <n v="1.8"/>
    <n v="2"/>
    <n v="3"/>
    <n v="2"/>
    <n v="3"/>
    <n v="2"/>
    <n v="2.4"/>
    <n v="1"/>
    <n v="1"/>
    <n v="1"/>
    <n v="1"/>
    <n v="2"/>
    <n v="1.2"/>
  </r>
  <r>
    <x v="0"/>
    <x v="0"/>
    <n v="1"/>
    <n v="4"/>
    <n v="1"/>
    <n v="5"/>
    <n v="5"/>
    <n v="5"/>
    <n v="5"/>
    <n v="5"/>
    <n v="5"/>
    <n v="5"/>
    <n v="5"/>
    <n v="5"/>
    <n v="5"/>
    <n v="5"/>
    <n v="5"/>
    <n v="5"/>
    <n v="5"/>
    <n v="5"/>
    <n v="5"/>
    <n v="5"/>
    <n v="5"/>
    <n v="5"/>
    <n v="5"/>
    <n v="5"/>
    <n v="5"/>
    <n v="5"/>
    <n v="5"/>
  </r>
  <r>
    <x v="0"/>
    <x v="0"/>
    <n v="2"/>
    <n v="1"/>
    <n v="3"/>
    <n v="4"/>
    <n v="4"/>
    <n v="4"/>
    <n v="3"/>
    <n v="4"/>
    <n v="3.8"/>
    <n v="4"/>
    <n v="4"/>
    <n v="4"/>
    <n v="4"/>
    <n v="4"/>
    <n v="4"/>
    <n v="4"/>
    <n v="4"/>
    <n v="4"/>
    <n v="4"/>
    <n v="4"/>
    <n v="4"/>
    <n v="4"/>
    <n v="4"/>
    <n v="4"/>
    <n v="4"/>
    <n v="4"/>
    <n v="4"/>
  </r>
  <r>
    <x v="0"/>
    <x v="0"/>
    <n v="2"/>
    <n v="2"/>
    <n v="4"/>
    <n v="3"/>
    <n v="4"/>
    <n v="3"/>
    <n v="4"/>
    <n v="3"/>
    <n v="3.4"/>
    <n v="4"/>
    <n v="3"/>
    <n v="4"/>
    <n v="3"/>
    <n v="4"/>
    <n v="3.6"/>
    <n v="3"/>
    <n v="4"/>
    <n v="3"/>
    <n v="4"/>
    <n v="3"/>
    <n v="3.4"/>
    <n v="4"/>
    <n v="3"/>
    <n v="4"/>
    <n v="3"/>
    <n v="4"/>
    <n v="3.6"/>
  </r>
  <r>
    <x v="2"/>
    <x v="1"/>
    <n v="3"/>
    <n v="1"/>
    <n v="5"/>
    <n v="3"/>
    <n v="3"/>
    <n v="3"/>
    <n v="3"/>
    <n v="3"/>
    <n v="3"/>
    <n v="3"/>
    <n v="3"/>
    <n v="3"/>
    <n v="3"/>
    <n v="3"/>
    <n v="3"/>
    <n v="3"/>
    <n v="3"/>
    <n v="3"/>
    <n v="3"/>
    <n v="3"/>
    <n v="3"/>
    <n v="3"/>
    <n v="3"/>
    <n v="3"/>
    <n v="3"/>
    <n v="3"/>
    <n v="3"/>
  </r>
  <r>
    <x v="3"/>
    <x v="1"/>
    <n v="2"/>
    <n v="1"/>
    <n v="5"/>
    <n v="5"/>
    <n v="1"/>
    <n v="5"/>
    <n v="5"/>
    <n v="5"/>
    <n v="4.2"/>
    <n v="5"/>
    <n v="5"/>
    <n v="5"/>
    <n v="5"/>
    <n v="5"/>
    <n v="5"/>
    <n v="5"/>
    <n v="5"/>
    <n v="5"/>
    <n v="5"/>
    <n v="5"/>
    <n v="5"/>
    <n v="5"/>
    <n v="5"/>
    <n v="5"/>
    <n v="5"/>
    <n v="5"/>
    <n v="5"/>
  </r>
  <r>
    <x v="0"/>
    <x v="0"/>
    <n v="3"/>
    <n v="4"/>
    <n v="5"/>
    <n v="5"/>
    <n v="5"/>
    <n v="5"/>
    <n v="5"/>
    <n v="5"/>
    <n v="5"/>
    <n v="5"/>
    <n v="5"/>
    <n v="5"/>
    <n v="5"/>
    <n v="5"/>
    <n v="5"/>
    <n v="5"/>
    <n v="5"/>
    <n v="5"/>
    <n v="5"/>
    <n v="5"/>
    <n v="5"/>
    <n v="5"/>
    <n v="5"/>
    <n v="5"/>
    <n v="5"/>
    <n v="5"/>
    <n v="5"/>
  </r>
  <r>
    <x v="2"/>
    <x v="0"/>
    <n v="3"/>
    <n v="4"/>
    <n v="5"/>
    <n v="3"/>
    <n v="4"/>
    <n v="4"/>
    <n v="2"/>
    <n v="4"/>
    <n v="3.4"/>
    <n v="2"/>
    <n v="1"/>
    <n v="2"/>
    <n v="3"/>
    <n v="4"/>
    <n v="2.4"/>
    <n v="4"/>
    <n v="4"/>
    <n v="4"/>
    <n v="4"/>
    <n v="4"/>
    <n v="4"/>
    <n v="4"/>
    <n v="4"/>
    <n v="4"/>
    <n v="4"/>
    <n v="4"/>
    <n v="4"/>
  </r>
  <r>
    <x v="0"/>
    <x v="1"/>
    <n v="2"/>
    <n v="4"/>
    <n v="5"/>
    <n v="4"/>
    <n v="5"/>
    <n v="4"/>
    <n v="3"/>
    <n v="3"/>
    <n v="3.8"/>
    <n v="4"/>
    <n v="5"/>
    <n v="5"/>
    <n v="4"/>
    <n v="4"/>
    <n v="4.4000000000000004"/>
    <n v="4"/>
    <n v="4"/>
    <n v="4"/>
    <n v="4"/>
    <n v="4"/>
    <n v="4"/>
    <n v="3"/>
    <n v="4"/>
    <n v="3"/>
    <n v="4"/>
    <n v="4"/>
    <n v="3.6"/>
  </r>
  <r>
    <x v="0"/>
    <x v="1"/>
    <n v="2"/>
    <n v="1"/>
    <n v="2"/>
    <n v="3"/>
    <n v="2"/>
    <n v="4"/>
    <n v="5"/>
    <n v="3"/>
    <n v="3.4"/>
    <n v="4"/>
    <n v="2"/>
    <n v="5"/>
    <n v="4"/>
    <n v="4"/>
    <n v="3.8"/>
    <n v="4"/>
    <n v="3"/>
    <n v="3"/>
    <n v="4"/>
    <n v="4"/>
    <n v="3.6"/>
    <n v="5"/>
    <n v="4"/>
    <n v="3"/>
    <n v="3"/>
    <n v="1"/>
    <n v="3.2"/>
  </r>
  <r>
    <x v="0"/>
    <x v="1"/>
    <n v="1"/>
    <n v="3"/>
    <n v="1"/>
    <n v="4"/>
    <n v="4"/>
    <n v="4"/>
    <n v="4"/>
    <n v="4"/>
    <n v="4"/>
    <n v="4"/>
    <n v="4"/>
    <n v="4"/>
    <n v="4"/>
    <n v="4"/>
    <n v="4"/>
    <n v="4"/>
    <n v="3"/>
    <n v="4"/>
    <n v="4"/>
    <n v="4"/>
    <n v="3.8"/>
    <n v="4"/>
    <n v="4"/>
    <n v="4"/>
    <n v="4"/>
    <n v="4"/>
    <n v="4"/>
  </r>
  <r>
    <x v="1"/>
    <x v="1"/>
    <n v="1"/>
    <n v="1"/>
    <n v="1"/>
    <n v="3"/>
    <n v="3"/>
    <n v="3"/>
    <n v="3"/>
    <n v="3"/>
    <n v="3"/>
    <n v="3"/>
    <n v="3"/>
    <n v="3"/>
    <n v="3"/>
    <n v="3"/>
    <n v="3"/>
    <n v="3"/>
    <n v="3"/>
    <n v="3"/>
    <n v="3"/>
    <n v="3"/>
    <n v="3"/>
    <n v="3"/>
    <n v="3"/>
    <n v="3"/>
    <n v="3"/>
    <n v="3"/>
    <n v="3"/>
  </r>
  <r>
    <x v="0"/>
    <x v="0"/>
    <n v="3"/>
    <n v="4"/>
    <n v="5"/>
    <n v="5"/>
    <n v="5"/>
    <n v="2"/>
    <n v="5"/>
    <n v="2"/>
    <n v="3.8"/>
    <n v="5"/>
    <n v="2"/>
    <n v="1"/>
    <n v="1"/>
    <n v="2"/>
    <n v="2.2000000000000002"/>
    <n v="2"/>
    <n v="4"/>
    <n v="4"/>
    <n v="4"/>
    <n v="4"/>
    <n v="3.6"/>
    <n v="1"/>
    <n v="1"/>
    <n v="1"/>
    <n v="1"/>
    <n v="1"/>
    <n v="1"/>
  </r>
  <r>
    <x v="0"/>
    <x v="1"/>
    <n v="2"/>
    <n v="2"/>
    <n v="1"/>
    <n v="2"/>
    <n v="3"/>
    <n v="4"/>
    <n v="4"/>
    <n v="2"/>
    <n v="3"/>
    <n v="4"/>
    <n v="4"/>
    <n v="2"/>
    <n v="4"/>
    <n v="1"/>
    <n v="3"/>
    <n v="5"/>
    <n v="4"/>
    <n v="4"/>
    <n v="5"/>
    <n v="5"/>
    <n v="4.5999999999999996"/>
    <n v="3"/>
    <n v="4"/>
    <n v="4"/>
    <n v="4"/>
    <n v="1"/>
    <n v="3.2"/>
  </r>
  <r>
    <x v="0"/>
    <x v="0"/>
    <n v="2"/>
    <n v="2"/>
    <n v="1"/>
    <n v="4"/>
    <n v="4"/>
    <n v="4"/>
    <n v="4"/>
    <n v="4"/>
    <n v="4"/>
    <n v="4"/>
    <n v="4"/>
    <n v="4"/>
    <n v="4"/>
    <n v="4"/>
    <n v="4"/>
    <n v="4"/>
    <n v="4"/>
    <n v="4"/>
    <n v="4"/>
    <n v="4"/>
    <n v="4"/>
    <n v="4"/>
    <n v="4"/>
    <n v="4"/>
    <n v="4"/>
    <n v="3"/>
    <n v="3.8"/>
  </r>
  <r>
    <x v="0"/>
    <x v="1"/>
    <n v="2"/>
    <n v="2"/>
    <n v="1"/>
    <n v="4"/>
    <n v="5"/>
    <n v="4"/>
    <n v="3"/>
    <n v="4"/>
    <n v="4"/>
    <n v="5"/>
    <n v="5"/>
    <n v="5"/>
    <n v="4"/>
    <n v="5"/>
    <n v="4.8"/>
    <n v="3"/>
    <n v="4"/>
    <n v="5"/>
    <n v="5"/>
    <n v="4"/>
    <n v="4.2"/>
    <n v="4"/>
    <n v="5"/>
    <n v="4"/>
    <n v="3"/>
    <n v="5"/>
    <n v="4.2"/>
  </r>
  <r>
    <x v="0"/>
    <x v="1"/>
    <n v="2"/>
    <n v="1"/>
    <n v="1"/>
    <n v="3"/>
    <n v="3"/>
    <n v="4"/>
    <n v="4"/>
    <n v="4"/>
    <n v="3.6"/>
    <n v="4"/>
    <n v="4"/>
    <n v="3"/>
    <n v="3"/>
    <n v="4"/>
    <n v="3.6"/>
    <n v="4"/>
    <n v="4"/>
    <n v="4"/>
    <n v="4"/>
    <n v="4"/>
    <n v="4"/>
    <n v="4"/>
    <n v="3"/>
    <n v="4"/>
    <n v="4"/>
    <n v="5"/>
    <n v="4"/>
  </r>
  <r>
    <x v="0"/>
    <x v="1"/>
    <n v="2"/>
    <n v="2"/>
    <n v="5"/>
    <n v="4"/>
    <n v="5"/>
    <n v="5"/>
    <n v="4"/>
    <n v="4"/>
    <n v="4.4000000000000004"/>
    <n v="5"/>
    <n v="4"/>
    <n v="5"/>
    <n v="5"/>
    <n v="4"/>
    <n v="4.5999999999999996"/>
    <n v="4"/>
    <n v="5"/>
    <n v="5"/>
    <n v="5"/>
    <n v="4"/>
    <n v="4.5999999999999996"/>
    <n v="4"/>
    <n v="4"/>
    <n v="4"/>
    <n v="4"/>
    <n v="5"/>
    <n v="4.2"/>
  </r>
  <r>
    <x v="0"/>
    <x v="0"/>
    <n v="2"/>
    <n v="3"/>
    <n v="1"/>
    <n v="5"/>
    <n v="4"/>
    <n v="4"/>
    <n v="5"/>
    <n v="4"/>
    <n v="4.4000000000000004"/>
    <n v="5"/>
    <n v="4"/>
    <n v="5"/>
    <n v="4"/>
    <n v="4"/>
    <n v="4.4000000000000004"/>
    <n v="5"/>
    <n v="4"/>
    <n v="5"/>
    <n v="5"/>
    <n v="5"/>
    <n v="4.8"/>
    <n v="4"/>
    <n v="4"/>
    <n v="5"/>
    <n v="4"/>
    <n v="4"/>
    <n v="4.2"/>
  </r>
  <r>
    <x v="0"/>
    <x v="1"/>
    <n v="3"/>
    <n v="2"/>
    <n v="4"/>
    <n v="3"/>
    <n v="1"/>
    <n v="1"/>
    <n v="2"/>
    <n v="2"/>
    <n v="1.8"/>
    <n v="1"/>
    <n v="2"/>
    <n v="1"/>
    <n v="5"/>
    <n v="5"/>
    <n v="2.8"/>
    <n v="5"/>
    <n v="1"/>
    <n v="1"/>
    <n v="3"/>
    <n v="1"/>
    <n v="2.2000000000000002"/>
    <n v="3"/>
    <n v="4"/>
    <n v="3"/>
    <n v="3"/>
    <n v="3"/>
    <n v="3.2"/>
  </r>
  <r>
    <x v="0"/>
    <x v="1"/>
    <n v="2"/>
    <n v="1"/>
    <n v="1"/>
    <n v="3"/>
    <n v="3"/>
    <n v="3"/>
    <n v="3"/>
    <n v="3"/>
    <n v="3"/>
    <n v="3"/>
    <n v="3"/>
    <n v="3"/>
    <n v="3"/>
    <n v="3"/>
    <n v="3"/>
    <n v="3"/>
    <n v="3"/>
    <n v="3"/>
    <n v="3"/>
    <n v="3"/>
    <n v="3"/>
    <n v="3"/>
    <n v="3"/>
    <n v="3"/>
    <n v="3"/>
    <n v="3"/>
    <n v="3"/>
  </r>
  <r>
    <x v="0"/>
    <x v="0"/>
    <n v="1"/>
    <n v="1"/>
    <n v="1"/>
    <n v="3"/>
    <n v="3"/>
    <n v="3"/>
    <n v="3"/>
    <n v="4"/>
    <n v="3.2"/>
    <n v="3"/>
    <n v="4"/>
    <n v="4"/>
    <n v="3"/>
    <n v="3"/>
    <n v="3.4"/>
    <n v="3"/>
    <n v="3"/>
    <n v="3"/>
    <n v="3"/>
    <n v="2"/>
    <n v="2.8"/>
    <n v="2"/>
    <n v="4"/>
    <n v="2"/>
    <n v="2"/>
    <n v="3"/>
    <n v="2.6"/>
  </r>
  <r>
    <x v="0"/>
    <x v="1"/>
    <n v="2"/>
    <n v="3"/>
    <n v="1"/>
    <n v="4"/>
    <n v="3"/>
    <n v="3"/>
    <n v="3"/>
    <n v="1"/>
    <n v="2.8"/>
    <n v="4"/>
    <n v="2"/>
    <n v="3"/>
    <n v="3"/>
    <n v="4"/>
    <n v="3.2"/>
    <n v="4"/>
    <n v="4"/>
    <n v="4"/>
    <n v="4"/>
    <n v="4"/>
    <n v="4"/>
    <n v="4"/>
    <n v="4"/>
    <n v="3"/>
    <n v="4"/>
    <n v="4"/>
    <n v="3.8"/>
  </r>
  <r>
    <x v="0"/>
    <x v="0"/>
    <n v="2"/>
    <n v="2"/>
    <n v="2"/>
    <n v="3"/>
    <n v="3"/>
    <n v="4"/>
    <n v="4"/>
    <n v="1"/>
    <n v="3"/>
    <n v="3"/>
    <n v="4"/>
    <n v="5"/>
    <n v="4"/>
    <n v="4"/>
    <n v="4"/>
    <n v="4"/>
    <n v="3"/>
    <n v="4"/>
    <n v="5"/>
    <n v="4"/>
    <n v="4"/>
    <n v="3"/>
    <n v="5"/>
    <n v="4"/>
    <n v="5"/>
    <n v="3"/>
    <n v="4"/>
  </r>
  <r>
    <x v="0"/>
    <x v="0"/>
    <n v="1"/>
    <n v="2"/>
    <n v="1"/>
    <n v="4"/>
    <n v="3"/>
    <n v="4"/>
    <n v="4"/>
    <n v="4"/>
    <n v="3.8"/>
    <n v="4"/>
    <n v="4"/>
    <n v="3"/>
    <n v="4"/>
    <n v="5"/>
    <n v="4"/>
    <n v="5"/>
    <n v="4"/>
    <n v="4"/>
    <n v="4"/>
    <n v="3"/>
    <n v="4"/>
    <n v="4"/>
    <n v="4"/>
    <n v="5"/>
    <n v="4"/>
    <n v="4"/>
    <n v="4.2"/>
  </r>
  <r>
    <x v="0"/>
    <x v="0"/>
    <n v="1"/>
    <n v="2"/>
    <n v="1"/>
    <n v="3"/>
    <n v="3"/>
    <n v="4"/>
    <n v="4"/>
    <n v="3"/>
    <n v="3.4"/>
    <n v="4"/>
    <n v="4"/>
    <n v="3"/>
    <n v="4"/>
    <n v="3"/>
    <n v="3.6"/>
    <n v="3"/>
    <n v="4"/>
    <n v="4"/>
    <n v="3"/>
    <n v="4"/>
    <n v="3.6"/>
    <n v="4"/>
    <n v="4"/>
    <n v="3"/>
    <n v="3"/>
    <n v="3"/>
    <n v="3.4"/>
  </r>
  <r>
    <x v="0"/>
    <x v="0"/>
    <n v="2"/>
    <n v="4"/>
    <n v="1"/>
    <n v="5"/>
    <n v="5"/>
    <n v="5"/>
    <n v="5"/>
    <n v="5"/>
    <n v="5"/>
    <n v="5"/>
    <n v="5"/>
    <n v="5"/>
    <n v="5"/>
    <n v="5"/>
    <n v="5"/>
    <n v="5"/>
    <n v="5"/>
    <n v="5"/>
    <n v="5"/>
    <n v="5"/>
    <n v="5"/>
    <n v="5"/>
    <n v="5"/>
    <n v="5"/>
    <n v="5"/>
    <n v="5"/>
    <n v="5"/>
  </r>
  <r>
    <x v="0"/>
    <x v="1"/>
    <n v="2"/>
    <n v="2"/>
    <n v="5"/>
    <n v="4"/>
    <n v="5"/>
    <n v="5"/>
    <n v="4"/>
    <n v="5"/>
    <n v="4.5999999999999996"/>
    <n v="5"/>
    <n v="4"/>
    <n v="4"/>
    <n v="4"/>
    <n v="5"/>
    <n v="4.4000000000000004"/>
    <n v="5"/>
    <n v="5"/>
    <n v="4"/>
    <n v="4"/>
    <n v="4"/>
    <n v="4.4000000000000004"/>
    <n v="4"/>
    <n v="5"/>
    <n v="4"/>
    <n v="5"/>
    <n v="3"/>
    <n v="4.2"/>
  </r>
  <r>
    <x v="0"/>
    <x v="0"/>
    <n v="2"/>
    <n v="2"/>
    <n v="2"/>
    <n v="5"/>
    <n v="5"/>
    <n v="4"/>
    <n v="4"/>
    <n v="3"/>
    <n v="4.2"/>
    <n v="3"/>
    <n v="4"/>
    <n v="5"/>
    <n v="4"/>
    <n v="3"/>
    <n v="3.8"/>
    <n v="3"/>
    <n v="4"/>
    <n v="4"/>
    <n v="5"/>
    <n v="4"/>
    <n v="4"/>
    <n v="5"/>
    <n v="1"/>
    <n v="4"/>
    <n v="1"/>
    <n v="1"/>
    <n v="2.4"/>
  </r>
  <r>
    <x v="0"/>
    <x v="0"/>
    <n v="3"/>
    <n v="2"/>
    <n v="1"/>
    <n v="4"/>
    <n v="5"/>
    <n v="4"/>
    <n v="4"/>
    <n v="5"/>
    <n v="4.4000000000000004"/>
    <n v="3"/>
    <n v="4"/>
    <n v="4"/>
    <n v="3"/>
    <n v="4"/>
    <n v="3.6"/>
    <n v="4"/>
    <n v="3"/>
    <n v="4"/>
    <n v="4"/>
    <n v="4"/>
    <n v="3.8"/>
    <n v="4"/>
    <n v="4"/>
    <n v="5"/>
    <n v="3"/>
    <n v="3"/>
    <n v="3.8"/>
  </r>
  <r>
    <x v="0"/>
    <x v="0"/>
    <n v="2"/>
    <n v="1"/>
    <n v="1"/>
    <n v="4"/>
    <n v="4"/>
    <n v="4"/>
    <n v="4"/>
    <n v="4"/>
    <n v="4"/>
    <n v="4"/>
    <n v="4"/>
    <n v="4"/>
    <n v="4"/>
    <n v="3"/>
    <n v="3.8"/>
    <n v="3"/>
    <n v="3"/>
    <n v="4"/>
    <n v="4"/>
    <n v="4"/>
    <n v="3.6"/>
    <n v="4"/>
    <n v="4"/>
    <n v="4"/>
    <n v="4"/>
    <n v="2"/>
    <n v="3.6"/>
  </r>
  <r>
    <x v="0"/>
    <x v="0"/>
    <n v="1"/>
    <n v="3"/>
    <n v="1"/>
    <n v="4"/>
    <n v="3"/>
    <n v="4"/>
    <n v="3"/>
    <n v="4"/>
    <n v="3.6"/>
    <n v="2"/>
    <n v="4"/>
    <n v="3"/>
    <n v="5"/>
    <n v="4"/>
    <n v="3.6"/>
    <n v="5"/>
    <n v="4"/>
    <n v="5"/>
    <n v="1"/>
    <n v="4"/>
    <n v="3.8"/>
    <n v="3"/>
    <n v="3"/>
    <n v="4"/>
    <n v="3"/>
    <n v="4"/>
    <n v="3.4"/>
  </r>
  <r>
    <x v="0"/>
    <x v="1"/>
    <n v="2"/>
    <n v="4"/>
    <n v="2"/>
    <n v="2"/>
    <n v="4"/>
    <n v="4"/>
    <n v="4"/>
    <n v="4"/>
    <n v="3.6"/>
    <n v="3"/>
    <n v="3"/>
    <n v="4"/>
    <n v="4"/>
    <n v="2"/>
    <n v="3.2"/>
    <n v="4"/>
    <n v="4"/>
    <n v="5"/>
    <n v="4"/>
    <n v="2"/>
    <n v="3.8"/>
    <n v="4"/>
    <n v="4"/>
    <n v="5"/>
    <n v="5"/>
    <n v="2"/>
    <n v="4"/>
  </r>
  <r>
    <x v="0"/>
    <x v="0"/>
    <n v="1"/>
    <n v="2"/>
    <n v="1"/>
    <n v="5"/>
    <n v="5"/>
    <n v="5"/>
    <n v="5"/>
    <n v="5"/>
    <n v="5"/>
    <n v="5"/>
    <n v="5"/>
    <n v="5"/>
    <n v="5"/>
    <n v="5"/>
    <n v="5"/>
    <n v="5"/>
    <n v="5"/>
    <n v="5"/>
    <n v="5"/>
    <n v="5"/>
    <n v="5"/>
    <n v="5"/>
    <n v="5"/>
    <n v="5"/>
    <n v="5"/>
    <n v="5"/>
    <n v="5"/>
  </r>
  <r>
    <x v="0"/>
    <x v="0"/>
    <n v="2"/>
    <n v="2"/>
    <n v="1"/>
    <n v="4"/>
    <n v="4"/>
    <n v="4"/>
    <n v="4"/>
    <n v="4"/>
    <n v="4"/>
    <n v="4"/>
    <n v="4"/>
    <n v="4"/>
    <n v="4"/>
    <n v="4"/>
    <n v="4"/>
    <n v="4"/>
    <n v="3"/>
    <n v="2"/>
    <n v="4"/>
    <n v="4"/>
    <n v="3.4"/>
    <n v="4"/>
    <n v="4"/>
    <n v="3"/>
    <n v="3"/>
    <n v="5"/>
    <n v="3.8"/>
  </r>
  <r>
    <x v="0"/>
    <x v="1"/>
    <n v="2"/>
    <n v="3"/>
    <n v="1"/>
    <n v="4"/>
    <n v="4"/>
    <n v="4"/>
    <n v="4"/>
    <n v="4"/>
    <n v="4"/>
    <n v="4"/>
    <n v="4"/>
    <n v="4"/>
    <n v="4"/>
    <n v="4"/>
    <n v="4"/>
    <n v="4"/>
    <n v="4"/>
    <n v="4"/>
    <n v="4"/>
    <n v="4"/>
    <n v="4"/>
    <n v="4"/>
    <n v="4"/>
    <n v="4"/>
    <n v="4"/>
    <n v="4"/>
    <n v="4"/>
  </r>
  <r>
    <x v="0"/>
    <x v="1"/>
    <n v="2"/>
    <n v="3"/>
    <n v="2"/>
    <n v="3"/>
    <n v="4"/>
    <n v="4"/>
    <n v="4"/>
    <n v="4"/>
    <n v="3.8"/>
    <n v="3"/>
    <n v="2"/>
    <n v="3"/>
    <n v="4"/>
    <n v="3"/>
    <n v="3"/>
    <n v="5"/>
    <n v="4"/>
    <n v="5"/>
    <n v="4"/>
    <n v="5"/>
    <n v="4.5999999999999996"/>
    <n v="5"/>
    <n v="4"/>
    <n v="4"/>
    <n v="4"/>
    <n v="4"/>
    <n v="4.2"/>
  </r>
  <r>
    <x v="0"/>
    <x v="1"/>
    <n v="2"/>
    <n v="2"/>
    <n v="3"/>
    <n v="4"/>
    <n v="4"/>
    <n v="4"/>
    <n v="5"/>
    <n v="4"/>
    <n v="4.2"/>
    <n v="4"/>
    <n v="4"/>
    <n v="4"/>
    <n v="4"/>
    <n v="5"/>
    <n v="4.2"/>
    <n v="5"/>
    <n v="4"/>
    <n v="4"/>
    <n v="4"/>
    <n v="4"/>
    <n v="4.2"/>
    <n v="4"/>
    <n v="4"/>
    <n v="5"/>
    <n v="4"/>
    <n v="4"/>
    <n v="4.2"/>
  </r>
  <r>
    <x v="2"/>
    <x v="0"/>
    <n v="4"/>
    <n v="2"/>
    <n v="4"/>
    <n v="4"/>
    <n v="4"/>
    <n v="4"/>
    <n v="4"/>
    <n v="4"/>
    <n v="4"/>
    <n v="4"/>
    <n v="4"/>
    <n v="4"/>
    <n v="4"/>
    <n v="4"/>
    <n v="4"/>
    <n v="4"/>
    <n v="4"/>
    <n v="4"/>
    <n v="4"/>
    <n v="4"/>
    <n v="4"/>
    <n v="4"/>
    <n v="4"/>
    <n v="4"/>
    <n v="4"/>
    <n v="4"/>
    <n v="4"/>
  </r>
  <r>
    <x v="2"/>
    <x v="1"/>
    <n v="1"/>
    <n v="2"/>
    <n v="3"/>
    <n v="4"/>
    <n v="4"/>
    <n v="4"/>
    <n v="3"/>
    <n v="3"/>
    <n v="3.6"/>
    <n v="3"/>
    <n v="3"/>
    <n v="3"/>
    <n v="3"/>
    <n v="3"/>
    <n v="3"/>
    <n v="3"/>
    <n v="2"/>
    <n v="3"/>
    <n v="4"/>
    <n v="4"/>
    <n v="3.2"/>
    <n v="3"/>
    <n v="4"/>
    <n v="4"/>
    <n v="4"/>
    <n v="3"/>
    <n v="3.6"/>
  </r>
  <r>
    <x v="2"/>
    <x v="0"/>
    <n v="2"/>
    <n v="4"/>
    <n v="5"/>
    <n v="4"/>
    <n v="3"/>
    <n v="4"/>
    <n v="4"/>
    <n v="5"/>
    <n v="4"/>
    <n v="3"/>
    <n v="1"/>
    <n v="5"/>
    <n v="2"/>
    <n v="3"/>
    <n v="2.8"/>
    <n v="4"/>
    <n v="3"/>
    <n v="3"/>
    <n v="2"/>
    <n v="4"/>
    <n v="3.2"/>
    <n v="4"/>
    <n v="1"/>
    <n v="1"/>
    <n v="2"/>
    <n v="1"/>
    <n v="1.8"/>
  </r>
  <r>
    <x v="2"/>
    <x v="0"/>
    <n v="4"/>
    <n v="4"/>
    <n v="4"/>
    <n v="4"/>
    <n v="4"/>
    <n v="4"/>
    <n v="5"/>
    <n v="4"/>
    <n v="4.2"/>
    <n v="4"/>
    <n v="3"/>
    <n v="4"/>
    <n v="4"/>
    <n v="4"/>
    <n v="3.8"/>
    <n v="2"/>
    <n v="3"/>
    <n v="1"/>
    <n v="2"/>
    <n v="4"/>
    <n v="2.4"/>
    <n v="4"/>
    <n v="4"/>
    <n v="4"/>
    <n v="4"/>
    <n v="5"/>
    <n v="4.2"/>
  </r>
  <r>
    <x v="3"/>
    <x v="1"/>
    <n v="3"/>
    <n v="4"/>
    <n v="4"/>
    <n v="2"/>
    <n v="2"/>
    <n v="4"/>
    <n v="4"/>
    <n v="4"/>
    <n v="3.2"/>
    <n v="5"/>
    <n v="5"/>
    <n v="4"/>
    <n v="3"/>
    <n v="5"/>
    <n v="4.4000000000000004"/>
    <n v="4"/>
    <n v="3"/>
    <n v="5"/>
    <n v="5"/>
    <n v="4"/>
    <n v="4.2"/>
    <n v="5"/>
    <n v="5"/>
    <n v="1"/>
    <n v="2"/>
    <n v="5"/>
    <n v="3.6"/>
  </r>
  <r>
    <x v="1"/>
    <x v="1"/>
    <n v="1"/>
    <n v="4"/>
    <n v="3"/>
    <n v="3"/>
    <n v="2"/>
    <n v="3"/>
    <n v="2"/>
    <n v="3"/>
    <n v="2.6"/>
    <n v="3"/>
    <n v="2"/>
    <n v="3"/>
    <n v="2"/>
    <n v="2"/>
    <n v="2.4"/>
    <n v="2"/>
    <n v="2"/>
    <n v="2"/>
    <n v="2"/>
    <n v="2"/>
    <n v="2"/>
    <n v="1"/>
    <n v="1"/>
    <n v="1"/>
    <n v="1"/>
    <n v="1"/>
    <n v="1"/>
  </r>
  <r>
    <x v="1"/>
    <x v="1"/>
    <n v="3"/>
    <n v="1"/>
    <n v="2"/>
    <n v="3"/>
    <n v="1"/>
    <n v="4"/>
    <n v="3"/>
    <n v="2"/>
    <n v="2.6"/>
    <n v="5"/>
    <n v="2"/>
    <n v="1"/>
    <n v="4"/>
    <n v="1"/>
    <n v="2.6"/>
    <n v="3"/>
    <n v="2"/>
    <n v="3"/>
    <n v="1"/>
    <n v="1"/>
    <n v="2"/>
    <n v="1"/>
    <n v="4"/>
    <n v="3"/>
    <n v="2"/>
    <n v="1"/>
    <n v="2.2000000000000002"/>
  </r>
  <r>
    <x v="1"/>
    <x v="1"/>
    <n v="3"/>
    <n v="1"/>
    <n v="3"/>
    <n v="1"/>
    <n v="2"/>
    <n v="2"/>
    <n v="2"/>
    <n v="3"/>
    <n v="2"/>
    <n v="1"/>
    <n v="5"/>
    <n v="3"/>
    <n v="4"/>
    <n v="2"/>
    <n v="3"/>
    <n v="2"/>
    <n v="3"/>
    <n v="1"/>
    <n v="2"/>
    <n v="2"/>
    <n v="2"/>
    <n v="2"/>
    <n v="1"/>
    <n v="4"/>
    <n v="3"/>
    <n v="1"/>
    <n v="2.2000000000000002"/>
  </r>
  <r>
    <x v="0"/>
    <x v="0"/>
    <n v="3"/>
    <n v="2"/>
    <n v="4"/>
    <n v="4"/>
    <n v="3"/>
    <n v="3"/>
    <n v="5"/>
    <n v="3"/>
    <n v="3.6"/>
    <n v="5"/>
    <n v="4"/>
    <n v="4"/>
    <n v="3"/>
    <n v="4"/>
    <n v="4"/>
    <n v="3"/>
    <n v="4"/>
    <n v="3"/>
    <n v="5"/>
    <n v="4"/>
    <n v="3.8"/>
    <n v="5"/>
    <n v="4"/>
    <n v="4"/>
    <n v="4"/>
    <n v="4"/>
    <n v="4.2"/>
  </r>
  <r>
    <x v="0"/>
    <x v="0"/>
    <n v="2"/>
    <n v="2"/>
    <n v="2"/>
    <n v="3"/>
    <n v="3"/>
    <n v="4"/>
    <n v="4"/>
    <n v="3"/>
    <n v="3.4"/>
    <n v="4"/>
    <n v="4"/>
    <n v="4"/>
    <n v="4"/>
    <n v="3"/>
    <n v="3.8"/>
    <n v="4"/>
    <n v="4"/>
    <n v="4"/>
    <n v="3"/>
    <n v="4"/>
    <n v="3.8"/>
    <n v="4"/>
    <n v="4"/>
    <n v="4"/>
    <n v="4"/>
    <n v="4"/>
    <n v="4"/>
  </r>
  <r>
    <x v="0"/>
    <x v="1"/>
    <n v="1"/>
    <n v="2"/>
    <n v="4"/>
    <n v="4"/>
    <n v="2"/>
    <n v="2"/>
    <n v="3"/>
    <n v="4"/>
    <n v="3"/>
    <n v="2"/>
    <n v="4"/>
    <n v="1"/>
    <n v="2"/>
    <n v="2"/>
    <n v="2.2000000000000002"/>
    <n v="2"/>
    <n v="3"/>
    <n v="1"/>
    <n v="1"/>
    <n v="1"/>
    <n v="1.6"/>
    <n v="5"/>
    <n v="3"/>
    <n v="3"/>
    <n v="3"/>
    <n v="1"/>
    <n v="3"/>
  </r>
  <r>
    <x v="3"/>
    <x v="1"/>
    <n v="3"/>
    <n v="4"/>
    <n v="5"/>
    <n v="3"/>
    <n v="5"/>
    <n v="3"/>
    <n v="5"/>
    <n v="2"/>
    <n v="3.6"/>
    <n v="4"/>
    <n v="4"/>
    <n v="4"/>
    <n v="3"/>
    <n v="3"/>
    <n v="3.6"/>
    <n v="4"/>
    <n v="5"/>
    <n v="4"/>
    <n v="4"/>
    <n v="4"/>
    <n v="4.2"/>
    <n v="3"/>
    <n v="3"/>
    <n v="3"/>
    <n v="3"/>
    <n v="3"/>
    <n v="3"/>
  </r>
  <r>
    <x v="0"/>
    <x v="1"/>
    <n v="3"/>
    <n v="1"/>
    <n v="2"/>
    <n v="2"/>
    <n v="3"/>
    <n v="3"/>
    <n v="3"/>
    <n v="3"/>
    <n v="2.8"/>
    <n v="2"/>
    <n v="3"/>
    <n v="4"/>
    <n v="3"/>
    <n v="2"/>
    <n v="2.8"/>
    <n v="1"/>
    <n v="1"/>
    <n v="2"/>
    <n v="4"/>
    <n v="1"/>
    <n v="1.8"/>
    <n v="1"/>
    <n v="4"/>
    <n v="3"/>
    <n v="3"/>
    <n v="4"/>
    <n v="3"/>
  </r>
  <r>
    <x v="3"/>
    <x v="1"/>
    <n v="2"/>
    <n v="3"/>
    <n v="5"/>
    <n v="4"/>
    <n v="5"/>
    <n v="4"/>
    <n v="2"/>
    <n v="2"/>
    <n v="3.4"/>
    <n v="3"/>
    <n v="3"/>
    <n v="3"/>
    <n v="5"/>
    <n v="4"/>
    <n v="3.6"/>
    <n v="3"/>
    <n v="3"/>
    <n v="3"/>
    <n v="3"/>
    <n v="2"/>
    <n v="2.8"/>
    <n v="5"/>
    <n v="1"/>
    <n v="2"/>
    <n v="2"/>
    <n v="3"/>
    <n v="2.6"/>
  </r>
  <r>
    <x v="0"/>
    <x v="1"/>
    <n v="1"/>
    <n v="2"/>
    <n v="2"/>
    <n v="2"/>
    <n v="3"/>
    <n v="3"/>
    <n v="4"/>
    <n v="2"/>
    <n v="2.8"/>
    <n v="1"/>
    <n v="2"/>
    <n v="4"/>
    <n v="1"/>
    <n v="4"/>
    <n v="2.4"/>
    <n v="1"/>
    <n v="3"/>
    <n v="3"/>
    <n v="3"/>
    <n v="3"/>
    <n v="2.6"/>
    <n v="3"/>
    <n v="2"/>
    <n v="2"/>
    <n v="1"/>
    <n v="5"/>
    <n v="2.6"/>
  </r>
  <r>
    <x v="4"/>
    <x v="2"/>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CA83B2-9194-40C0-91D1-6E75B40CEB38}"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29">
    <pivotField axis="axisRow" showAll="0">
      <items count="6">
        <item n="Below 20" x="1"/>
        <item n="21-30" x="0"/>
        <item n="31-40" x="2"/>
        <item n="Above 40" x="3"/>
        <item h="1" x="4"/>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5">
    <i>
      <x/>
    </i>
    <i>
      <x v="1"/>
    </i>
    <i>
      <x v="2"/>
    </i>
    <i>
      <x v="3"/>
    </i>
    <i t="grand">
      <x/>
    </i>
  </rowItems>
  <colItems count="1">
    <i/>
  </colItems>
  <dataFields count="1">
    <dataField name="Average of CUTOMER LOYALTY(RESPONSE-R)" fld="28" subtotal="average" baseField="0" baseItem="0"/>
  </dataFields>
  <formats count="5">
    <format dxfId="0">
      <pivotArea collapsedLevelsAreSubtotals="1" fieldPosition="0">
        <references count="1">
          <reference field="0" count="1">
            <x v="0"/>
          </reference>
        </references>
      </pivotArea>
    </format>
    <format dxfId="1">
      <pivotArea collapsedLevelsAreSubtotals="1" fieldPosition="0">
        <references count="1">
          <reference field="0" count="1">
            <x v="1"/>
          </reference>
        </references>
      </pivotArea>
    </format>
    <format dxfId="2">
      <pivotArea collapsedLevelsAreSubtotals="1" fieldPosition="0">
        <references count="1">
          <reference field="0" count="1">
            <x v="2"/>
          </reference>
        </references>
      </pivotArea>
    </format>
    <format dxfId="3">
      <pivotArea collapsedLevelsAreSubtotals="1" fieldPosition="0">
        <references count="1">
          <reference field="0" count="1">
            <x v="3"/>
          </reference>
        </references>
      </pivotArea>
    </format>
    <format dxfId="4">
      <pivotArea grandRow="1"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3C55BB-F6F3-457C-B6BC-65BD16527A5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
    <pivotField axis="axisRow" showAll="0">
      <items count="5">
        <item x="0"/>
        <item h="1" x="3"/>
        <item x="1"/>
        <item x="2"/>
        <item t="default"/>
      </items>
    </pivotField>
    <pivotField name="Average of SCORE2" dataField="1" showAll="0"/>
  </pivotFields>
  <rowFields count="1">
    <field x="0"/>
  </rowFields>
  <rowItems count="4">
    <i>
      <x/>
    </i>
    <i>
      <x v="2"/>
    </i>
    <i>
      <x v="3"/>
    </i>
    <i t="grand">
      <x/>
    </i>
  </rowItems>
  <colItems count="1">
    <i/>
  </colItems>
  <dataFields count="1">
    <dataField name="Sum of Average of SCORE2" fld="1" baseField="0" baseItem="0"/>
  </dataFields>
  <formats count="1">
    <format dxfId="85">
      <pivotArea grandRow="1" outline="0" collapsedLevelsAreSubtotals="1" fieldPosition="0"/>
    </format>
  </formats>
  <chartFormats count="10">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0"/>
          </reference>
        </references>
      </pivotArea>
    </chartFormat>
    <chartFormat chart="1" format="6">
      <pivotArea type="data" outline="0" fieldPosition="0">
        <references count="2">
          <reference field="4294967294" count="1" selected="0">
            <x v="0"/>
          </reference>
          <reference field="0" count="1" selected="0">
            <x v="2"/>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0" count="1" selected="0">
            <x v="0"/>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 chart="7" format="15">
      <pivotArea type="data" outline="0" fieldPosition="0">
        <references count="2">
          <reference field="4294967294" count="1" selected="0">
            <x v="0"/>
          </reference>
          <reference field="0" count="1" selected="0">
            <x v="2"/>
          </reference>
        </references>
      </pivotArea>
    </chartFormat>
    <chartFormat chart="7" format="16">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5A94799-4ACC-4344-9370-AD9DBBBFB02B}" sourceName="Gender">
  <pivotTables>
    <pivotTable tabId="9" name="PivotTable1"/>
  </pivotTables>
  <data>
    <tabular pivotCacheId="1540558722">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25D8EF3-8742-48BA-BDF5-70546CC22135}" cache="Slicer_Gender" caption="Gend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A79C4-ECF0-4242-B4BE-5EC580980B52}">
  <dimension ref="A1:Z105"/>
  <sheetViews>
    <sheetView workbookViewId="0"/>
  </sheetViews>
  <sheetFormatPr defaultRowHeight="14.4" x14ac:dyDescent="0.3"/>
  <cols>
    <col min="1" max="1" width="22.88671875" customWidth="1"/>
  </cols>
  <sheetData>
    <row r="1" spans="1:26" ht="172.2"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row>
    <row r="2" spans="1:26" ht="27" thickBot="1" x14ac:dyDescent="0.35">
      <c r="A2" s="4">
        <v>46328.653402777774</v>
      </c>
      <c r="B2" s="5" t="s">
        <v>26</v>
      </c>
      <c r="C2" s="5" t="s">
        <v>27</v>
      </c>
      <c r="D2" s="5" t="s">
        <v>28</v>
      </c>
      <c r="E2" s="5" t="s">
        <v>29</v>
      </c>
      <c r="F2" s="5" t="s">
        <v>30</v>
      </c>
      <c r="G2" s="5" t="s">
        <v>31</v>
      </c>
      <c r="H2" s="5" t="s">
        <v>32</v>
      </c>
      <c r="I2" s="5" t="s">
        <v>32</v>
      </c>
      <c r="J2" s="5" t="s">
        <v>31</v>
      </c>
      <c r="K2" s="5" t="s">
        <v>32</v>
      </c>
      <c r="L2" s="5" t="s">
        <v>33</v>
      </c>
      <c r="M2" s="5" t="s">
        <v>33</v>
      </c>
      <c r="N2" s="5" t="s">
        <v>31</v>
      </c>
      <c r="O2" s="5" t="s">
        <v>31</v>
      </c>
      <c r="P2" s="5" t="s">
        <v>31</v>
      </c>
      <c r="Q2" s="5" t="s">
        <v>33</v>
      </c>
      <c r="R2" s="5" t="s">
        <v>31</v>
      </c>
      <c r="S2" s="5" t="s">
        <v>31</v>
      </c>
      <c r="T2" s="5" t="s">
        <v>32</v>
      </c>
      <c r="U2" s="5" t="s">
        <v>32</v>
      </c>
      <c r="V2" s="5" t="s">
        <v>31</v>
      </c>
      <c r="W2" s="5" t="s">
        <v>32</v>
      </c>
      <c r="X2" s="5" t="s">
        <v>33</v>
      </c>
      <c r="Y2" s="5" t="s">
        <v>32</v>
      </c>
      <c r="Z2" s="6" t="s">
        <v>34</v>
      </c>
    </row>
    <row r="3" spans="1:26" ht="27" thickBot="1" x14ac:dyDescent="0.35">
      <c r="A3" s="7">
        <v>46328.722604166665</v>
      </c>
      <c r="B3" s="8" t="s">
        <v>26</v>
      </c>
      <c r="C3" s="8" t="s">
        <v>35</v>
      </c>
      <c r="D3" s="8" t="s">
        <v>36</v>
      </c>
      <c r="E3" s="8" t="s">
        <v>29</v>
      </c>
      <c r="F3" s="8" t="s">
        <v>30</v>
      </c>
      <c r="G3" s="8" t="s">
        <v>32</v>
      </c>
      <c r="H3" s="8" t="s">
        <v>32</v>
      </c>
      <c r="I3" s="8" t="s">
        <v>32</v>
      </c>
      <c r="J3" s="8" t="s">
        <v>32</v>
      </c>
      <c r="K3" s="8" t="s">
        <v>32</v>
      </c>
      <c r="L3" s="8" t="s">
        <v>32</v>
      </c>
      <c r="M3" s="8" t="s">
        <v>32</v>
      </c>
      <c r="N3" s="8" t="s">
        <v>32</v>
      </c>
      <c r="O3" s="8" t="s">
        <v>32</v>
      </c>
      <c r="P3" s="8" t="s">
        <v>32</v>
      </c>
      <c r="Q3" s="8" t="s">
        <v>32</v>
      </c>
      <c r="R3" s="8" t="s">
        <v>32</v>
      </c>
      <c r="S3" s="8" t="s">
        <v>32</v>
      </c>
      <c r="T3" s="8" t="s">
        <v>32</v>
      </c>
      <c r="U3" s="8" t="s">
        <v>32</v>
      </c>
      <c r="V3" s="8" t="s">
        <v>32</v>
      </c>
      <c r="W3" s="8" t="s">
        <v>32</v>
      </c>
      <c r="X3" s="8" t="s">
        <v>32</v>
      </c>
      <c r="Y3" s="8" t="s">
        <v>32</v>
      </c>
      <c r="Z3" s="9" t="s">
        <v>32</v>
      </c>
    </row>
    <row r="4" spans="1:26" ht="27" thickBot="1" x14ac:dyDescent="0.35">
      <c r="A4" s="4">
        <v>46328.766932870371</v>
      </c>
      <c r="B4" s="5" t="s">
        <v>37</v>
      </c>
      <c r="C4" s="5" t="s">
        <v>27</v>
      </c>
      <c r="D4" s="5" t="s">
        <v>28</v>
      </c>
      <c r="E4" s="5" t="s">
        <v>29</v>
      </c>
      <c r="F4" s="5" t="s">
        <v>30</v>
      </c>
      <c r="G4" s="5" t="s">
        <v>31</v>
      </c>
      <c r="H4" s="5" t="s">
        <v>31</v>
      </c>
      <c r="I4" s="5" t="s">
        <v>31</v>
      </c>
      <c r="J4" s="5" t="s">
        <v>31</v>
      </c>
      <c r="K4" s="5" t="s">
        <v>31</v>
      </c>
      <c r="L4" s="5" t="s">
        <v>31</v>
      </c>
      <c r="M4" s="5" t="s">
        <v>31</v>
      </c>
      <c r="N4" s="5" t="s">
        <v>31</v>
      </c>
      <c r="O4" s="5" t="s">
        <v>33</v>
      </c>
      <c r="P4" s="5" t="s">
        <v>31</v>
      </c>
      <c r="Q4" s="5" t="s">
        <v>31</v>
      </c>
      <c r="R4" s="5" t="s">
        <v>33</v>
      </c>
      <c r="S4" s="5" t="s">
        <v>32</v>
      </c>
      <c r="T4" s="5" t="s">
        <v>32</v>
      </c>
      <c r="U4" s="5" t="s">
        <v>32</v>
      </c>
      <c r="V4" s="5" t="s">
        <v>31</v>
      </c>
      <c r="W4" s="5" t="s">
        <v>31</v>
      </c>
      <c r="X4" s="5" t="s">
        <v>31</v>
      </c>
      <c r="Y4" s="5" t="s">
        <v>31</v>
      </c>
      <c r="Z4" s="6" t="s">
        <v>31</v>
      </c>
    </row>
    <row r="5" spans="1:26" ht="27" thickBot="1" x14ac:dyDescent="0.35">
      <c r="A5" s="7">
        <v>46358.472395833334</v>
      </c>
      <c r="B5" s="8" t="s">
        <v>26</v>
      </c>
      <c r="C5" s="8" t="s">
        <v>27</v>
      </c>
      <c r="D5" s="8" t="s">
        <v>28</v>
      </c>
      <c r="E5" s="8" t="s">
        <v>29</v>
      </c>
      <c r="F5" s="8" t="s">
        <v>30</v>
      </c>
      <c r="G5" s="8" t="s">
        <v>33</v>
      </c>
      <c r="H5" s="8" t="s">
        <v>31</v>
      </c>
      <c r="I5" s="8" t="s">
        <v>31</v>
      </c>
      <c r="J5" s="8" t="s">
        <v>31</v>
      </c>
      <c r="K5" s="8" t="s">
        <v>31</v>
      </c>
      <c r="L5" s="8" t="s">
        <v>33</v>
      </c>
      <c r="M5" s="8" t="s">
        <v>33</v>
      </c>
      <c r="N5" s="8" t="s">
        <v>33</v>
      </c>
      <c r="O5" s="8" t="s">
        <v>31</v>
      </c>
      <c r="P5" s="8" t="s">
        <v>33</v>
      </c>
      <c r="Q5" s="8" t="s">
        <v>31</v>
      </c>
      <c r="R5" s="8" t="s">
        <v>31</v>
      </c>
      <c r="S5" s="8" t="s">
        <v>31</v>
      </c>
      <c r="T5" s="8" t="s">
        <v>31</v>
      </c>
      <c r="U5" s="8" t="s">
        <v>31</v>
      </c>
      <c r="V5" s="8" t="s">
        <v>33</v>
      </c>
      <c r="W5" s="8" t="s">
        <v>33</v>
      </c>
      <c r="X5" s="8" t="s">
        <v>33</v>
      </c>
      <c r="Y5" s="8" t="s">
        <v>31</v>
      </c>
      <c r="Z5" s="9" t="s">
        <v>31</v>
      </c>
    </row>
    <row r="6" spans="1:26" ht="27" thickBot="1" x14ac:dyDescent="0.35">
      <c r="A6" s="4">
        <v>46358.474039351851</v>
      </c>
      <c r="B6" s="5" t="s">
        <v>26</v>
      </c>
      <c r="C6" s="5" t="s">
        <v>27</v>
      </c>
      <c r="D6" s="5" t="s">
        <v>28</v>
      </c>
      <c r="E6" s="5" t="s">
        <v>38</v>
      </c>
      <c r="F6" s="5" t="s">
        <v>39</v>
      </c>
      <c r="G6" s="5" t="s">
        <v>32</v>
      </c>
      <c r="H6" s="5" t="s">
        <v>32</v>
      </c>
      <c r="I6" s="5" t="s">
        <v>31</v>
      </c>
      <c r="J6" s="5" t="s">
        <v>32</v>
      </c>
      <c r="K6" s="5" t="s">
        <v>32</v>
      </c>
      <c r="L6" s="5" t="s">
        <v>31</v>
      </c>
      <c r="M6" s="5" t="s">
        <v>31</v>
      </c>
      <c r="N6" s="5" t="s">
        <v>31</v>
      </c>
      <c r="O6" s="5" t="s">
        <v>31</v>
      </c>
      <c r="P6" s="5" t="s">
        <v>31</v>
      </c>
      <c r="Q6" s="5" t="s">
        <v>31</v>
      </c>
      <c r="R6" s="5" t="s">
        <v>31</v>
      </c>
      <c r="S6" s="5" t="s">
        <v>31</v>
      </c>
      <c r="T6" s="5" t="s">
        <v>31</v>
      </c>
      <c r="U6" s="5" t="s">
        <v>34</v>
      </c>
      <c r="V6" s="5" t="s">
        <v>31</v>
      </c>
      <c r="W6" s="5" t="s">
        <v>34</v>
      </c>
      <c r="X6" s="5" t="s">
        <v>32</v>
      </c>
      <c r="Y6" s="5" t="s">
        <v>34</v>
      </c>
      <c r="Z6" s="6" t="s">
        <v>34</v>
      </c>
    </row>
    <row r="7" spans="1:26" ht="40.200000000000003" thickBot="1" x14ac:dyDescent="0.35">
      <c r="A7" s="7">
        <v>46358.47452546296</v>
      </c>
      <c r="B7" s="8" t="s">
        <v>26</v>
      </c>
      <c r="C7" s="8" t="s">
        <v>27</v>
      </c>
      <c r="D7" s="8" t="s">
        <v>28</v>
      </c>
      <c r="E7" s="8" t="s">
        <v>40</v>
      </c>
      <c r="F7" s="8" t="s">
        <v>41</v>
      </c>
      <c r="G7" s="8" t="s">
        <v>31</v>
      </c>
      <c r="H7" s="8" t="s">
        <v>31</v>
      </c>
      <c r="I7" s="8" t="s">
        <v>31</v>
      </c>
      <c r="J7" s="8" t="s">
        <v>31</v>
      </c>
      <c r="K7" s="8" t="s">
        <v>31</v>
      </c>
      <c r="L7" s="8" t="s">
        <v>33</v>
      </c>
      <c r="M7" s="8" t="s">
        <v>33</v>
      </c>
      <c r="N7" s="8" t="s">
        <v>33</v>
      </c>
      <c r="O7" s="8" t="s">
        <v>33</v>
      </c>
      <c r="P7" s="8" t="s">
        <v>33</v>
      </c>
      <c r="Q7" s="8" t="s">
        <v>33</v>
      </c>
      <c r="R7" s="8" t="s">
        <v>33</v>
      </c>
      <c r="S7" s="8" t="s">
        <v>33</v>
      </c>
      <c r="T7" s="8" t="s">
        <v>33</v>
      </c>
      <c r="U7" s="8" t="s">
        <v>33</v>
      </c>
      <c r="V7" s="8" t="s">
        <v>33</v>
      </c>
      <c r="W7" s="8" t="s">
        <v>33</v>
      </c>
      <c r="X7" s="8" t="s">
        <v>33</v>
      </c>
      <c r="Y7" s="8" t="s">
        <v>33</v>
      </c>
      <c r="Z7" s="9" t="s">
        <v>33</v>
      </c>
    </row>
    <row r="8" spans="1:26" ht="27" thickBot="1" x14ac:dyDescent="0.35">
      <c r="A8" s="4">
        <v>46358.489479166667</v>
      </c>
      <c r="B8" s="5" t="s">
        <v>26</v>
      </c>
      <c r="C8" s="5" t="s">
        <v>27</v>
      </c>
      <c r="D8" s="5" t="s">
        <v>36</v>
      </c>
      <c r="E8" s="5" t="s">
        <v>38</v>
      </c>
      <c r="F8" s="5" t="s">
        <v>39</v>
      </c>
      <c r="G8" s="5" t="s">
        <v>31</v>
      </c>
      <c r="H8" s="5" t="s">
        <v>32</v>
      </c>
      <c r="I8" s="5" t="s">
        <v>31</v>
      </c>
      <c r="J8" s="5" t="s">
        <v>31</v>
      </c>
      <c r="K8" s="5" t="s">
        <v>33</v>
      </c>
      <c r="L8" s="5" t="s">
        <v>33</v>
      </c>
      <c r="M8" s="5" t="s">
        <v>33</v>
      </c>
      <c r="N8" s="5" t="s">
        <v>33</v>
      </c>
      <c r="O8" s="5" t="s">
        <v>33</v>
      </c>
      <c r="P8" s="5" t="s">
        <v>33</v>
      </c>
      <c r="Q8" s="5" t="s">
        <v>33</v>
      </c>
      <c r="R8" s="5" t="s">
        <v>33</v>
      </c>
      <c r="S8" s="5" t="s">
        <v>33</v>
      </c>
      <c r="T8" s="5" t="s">
        <v>33</v>
      </c>
      <c r="U8" s="5" t="s">
        <v>31</v>
      </c>
      <c r="V8" s="5" t="s">
        <v>31</v>
      </c>
      <c r="W8" s="5" t="s">
        <v>31</v>
      </c>
      <c r="X8" s="5" t="s">
        <v>33</v>
      </c>
      <c r="Y8" s="5" t="s">
        <v>32</v>
      </c>
      <c r="Z8" s="6" t="s">
        <v>31</v>
      </c>
    </row>
    <row r="9" spans="1:26" ht="27" thickBot="1" x14ac:dyDescent="0.35">
      <c r="A9" s="7">
        <v>46358.491701388892</v>
      </c>
      <c r="B9" s="8" t="s">
        <v>26</v>
      </c>
      <c r="C9" s="8" t="s">
        <v>27</v>
      </c>
      <c r="D9" s="8" t="s">
        <v>36</v>
      </c>
      <c r="E9" s="8" t="s">
        <v>42</v>
      </c>
      <c r="F9" s="8" t="s">
        <v>30</v>
      </c>
      <c r="G9" s="8" t="s">
        <v>31</v>
      </c>
      <c r="H9" s="8" t="s">
        <v>32</v>
      </c>
      <c r="I9" s="8" t="s">
        <v>31</v>
      </c>
      <c r="J9" s="8" t="s">
        <v>32</v>
      </c>
      <c r="K9" s="8" t="s">
        <v>31</v>
      </c>
      <c r="L9" s="8" t="s">
        <v>31</v>
      </c>
      <c r="M9" s="8" t="s">
        <v>31</v>
      </c>
      <c r="N9" s="8" t="s">
        <v>31</v>
      </c>
      <c r="O9" s="8" t="s">
        <v>31</v>
      </c>
      <c r="P9" s="8" t="s">
        <v>31</v>
      </c>
      <c r="Q9" s="8" t="s">
        <v>31</v>
      </c>
      <c r="R9" s="8" t="s">
        <v>31</v>
      </c>
      <c r="S9" s="8" t="s">
        <v>31</v>
      </c>
      <c r="T9" s="8" t="s">
        <v>31</v>
      </c>
      <c r="U9" s="8" t="s">
        <v>31</v>
      </c>
      <c r="V9" s="8" t="s">
        <v>31</v>
      </c>
      <c r="W9" s="8" t="s">
        <v>31</v>
      </c>
      <c r="X9" s="8" t="s">
        <v>31</v>
      </c>
      <c r="Y9" s="8" t="s">
        <v>32</v>
      </c>
      <c r="Z9" s="9" t="s">
        <v>34</v>
      </c>
    </row>
    <row r="10" spans="1:26" ht="27" thickBot="1" x14ac:dyDescent="0.35">
      <c r="A10" s="4">
        <v>46358.493275462963</v>
      </c>
      <c r="B10" s="5" t="s">
        <v>26</v>
      </c>
      <c r="C10" s="5" t="s">
        <v>35</v>
      </c>
      <c r="D10" s="5" t="s">
        <v>36</v>
      </c>
      <c r="E10" s="5" t="s">
        <v>38</v>
      </c>
      <c r="F10" s="5" t="s">
        <v>39</v>
      </c>
      <c r="G10" s="5" t="s">
        <v>31</v>
      </c>
      <c r="H10" s="5" t="s">
        <v>31</v>
      </c>
      <c r="I10" s="5" t="s">
        <v>31</v>
      </c>
      <c r="J10" s="5" t="s">
        <v>33</v>
      </c>
      <c r="K10" s="5" t="s">
        <v>31</v>
      </c>
      <c r="L10" s="5" t="s">
        <v>31</v>
      </c>
      <c r="M10" s="5" t="s">
        <v>31</v>
      </c>
      <c r="N10" s="5" t="s">
        <v>33</v>
      </c>
      <c r="O10" s="5" t="s">
        <v>31</v>
      </c>
      <c r="P10" s="5" t="s">
        <v>31</v>
      </c>
      <c r="Q10" s="5" t="s">
        <v>31</v>
      </c>
      <c r="R10" s="5" t="s">
        <v>31</v>
      </c>
      <c r="S10" s="5" t="s">
        <v>32</v>
      </c>
      <c r="T10" s="5" t="s">
        <v>31</v>
      </c>
      <c r="U10" s="5" t="s">
        <v>32</v>
      </c>
      <c r="V10" s="5" t="s">
        <v>31</v>
      </c>
      <c r="W10" s="5" t="s">
        <v>32</v>
      </c>
      <c r="X10" s="5" t="s">
        <v>31</v>
      </c>
      <c r="Y10" s="5" t="s">
        <v>32</v>
      </c>
      <c r="Z10" s="6" t="s">
        <v>31</v>
      </c>
    </row>
    <row r="11" spans="1:26" ht="27" thickBot="1" x14ac:dyDescent="0.35">
      <c r="A11" s="7">
        <v>46358.496319444443</v>
      </c>
      <c r="B11" s="8" t="s">
        <v>26</v>
      </c>
      <c r="C11" s="8" t="s">
        <v>27</v>
      </c>
      <c r="D11" s="8" t="s">
        <v>36</v>
      </c>
      <c r="E11" s="8" t="s">
        <v>42</v>
      </c>
      <c r="F11" s="8" t="s">
        <v>30</v>
      </c>
      <c r="G11" s="8" t="s">
        <v>32</v>
      </c>
      <c r="H11" s="8" t="s">
        <v>32</v>
      </c>
      <c r="I11" s="8" t="s">
        <v>32</v>
      </c>
      <c r="J11" s="8" t="s">
        <v>32</v>
      </c>
      <c r="K11" s="8" t="s">
        <v>32</v>
      </c>
      <c r="L11" s="8" t="s">
        <v>32</v>
      </c>
      <c r="M11" s="8" t="s">
        <v>34</v>
      </c>
      <c r="N11" s="8" t="s">
        <v>32</v>
      </c>
      <c r="O11" s="8" t="s">
        <v>32</v>
      </c>
      <c r="P11" s="8" t="s">
        <v>32</v>
      </c>
      <c r="Q11" s="8" t="s">
        <v>32</v>
      </c>
      <c r="R11" s="8" t="s">
        <v>32</v>
      </c>
      <c r="S11" s="8" t="s">
        <v>32</v>
      </c>
      <c r="T11" s="8" t="s">
        <v>32</v>
      </c>
      <c r="U11" s="8" t="s">
        <v>32</v>
      </c>
      <c r="V11" s="8" t="s">
        <v>32</v>
      </c>
      <c r="W11" s="8" t="s">
        <v>32</v>
      </c>
      <c r="X11" s="8" t="s">
        <v>31</v>
      </c>
      <c r="Y11" s="8" t="s">
        <v>43</v>
      </c>
      <c r="Z11" s="9" t="s">
        <v>43</v>
      </c>
    </row>
    <row r="12" spans="1:26" ht="27" thickBot="1" x14ac:dyDescent="0.35">
      <c r="A12" s="4">
        <v>46358.527777777781</v>
      </c>
      <c r="B12" s="5" t="s">
        <v>26</v>
      </c>
      <c r="C12" s="5" t="s">
        <v>27</v>
      </c>
      <c r="D12" s="5" t="s">
        <v>28</v>
      </c>
      <c r="E12" s="5" t="s">
        <v>29</v>
      </c>
      <c r="F12" s="5" t="s">
        <v>30</v>
      </c>
      <c r="G12" s="5" t="s">
        <v>31</v>
      </c>
      <c r="H12" s="5" t="s">
        <v>31</v>
      </c>
      <c r="I12" s="5" t="s">
        <v>31</v>
      </c>
      <c r="J12" s="5" t="s">
        <v>31</v>
      </c>
      <c r="K12" s="5" t="s">
        <v>32</v>
      </c>
      <c r="L12" s="5" t="s">
        <v>31</v>
      </c>
      <c r="M12" s="5" t="s">
        <v>33</v>
      </c>
      <c r="N12" s="5" t="s">
        <v>33</v>
      </c>
      <c r="O12" s="5" t="s">
        <v>33</v>
      </c>
      <c r="P12" s="5" t="s">
        <v>31</v>
      </c>
      <c r="Q12" s="5" t="s">
        <v>31</v>
      </c>
      <c r="R12" s="5" t="s">
        <v>31</v>
      </c>
      <c r="S12" s="5" t="s">
        <v>31</v>
      </c>
      <c r="T12" s="5" t="s">
        <v>31</v>
      </c>
      <c r="U12" s="5" t="s">
        <v>31</v>
      </c>
      <c r="V12" s="5" t="s">
        <v>31</v>
      </c>
      <c r="W12" s="5" t="s">
        <v>31</v>
      </c>
      <c r="X12" s="5" t="s">
        <v>31</v>
      </c>
      <c r="Y12" s="5" t="s">
        <v>33</v>
      </c>
      <c r="Z12" s="6" t="s">
        <v>31</v>
      </c>
    </row>
    <row r="13" spans="1:26" ht="27" thickBot="1" x14ac:dyDescent="0.35">
      <c r="A13" s="7">
        <v>46358.533506944441</v>
      </c>
      <c r="B13" s="8" t="s">
        <v>26</v>
      </c>
      <c r="C13" s="8" t="s">
        <v>35</v>
      </c>
      <c r="D13" s="8" t="s">
        <v>36</v>
      </c>
      <c r="E13" s="8" t="s">
        <v>42</v>
      </c>
      <c r="F13" s="8" t="s">
        <v>30</v>
      </c>
      <c r="G13" s="8" t="s">
        <v>32</v>
      </c>
      <c r="H13" s="8" t="s">
        <v>31</v>
      </c>
      <c r="I13" s="8" t="s">
        <v>31</v>
      </c>
      <c r="J13" s="8" t="s">
        <v>31</v>
      </c>
      <c r="K13" s="8" t="s">
        <v>33</v>
      </c>
      <c r="L13" s="8" t="s">
        <v>31</v>
      </c>
      <c r="M13" s="8" t="s">
        <v>31</v>
      </c>
      <c r="N13" s="8" t="s">
        <v>31</v>
      </c>
      <c r="O13" s="8" t="s">
        <v>31</v>
      </c>
      <c r="P13" s="8" t="s">
        <v>31</v>
      </c>
      <c r="Q13" s="8" t="s">
        <v>31</v>
      </c>
      <c r="R13" s="8" t="s">
        <v>31</v>
      </c>
      <c r="S13" s="8" t="s">
        <v>31</v>
      </c>
      <c r="T13" s="8" t="s">
        <v>31</v>
      </c>
      <c r="U13" s="8" t="s">
        <v>31</v>
      </c>
      <c r="V13" s="8" t="s">
        <v>31</v>
      </c>
      <c r="W13" s="8" t="s">
        <v>31</v>
      </c>
      <c r="X13" s="8" t="s">
        <v>33</v>
      </c>
      <c r="Y13" s="8" t="s">
        <v>33</v>
      </c>
      <c r="Z13" s="9" t="s">
        <v>32</v>
      </c>
    </row>
    <row r="14" spans="1:26" ht="27" thickBot="1" x14ac:dyDescent="0.35">
      <c r="A14" s="4">
        <v>46358.543090277781</v>
      </c>
      <c r="B14" s="5" t="s">
        <v>26</v>
      </c>
      <c r="C14" s="5" t="s">
        <v>35</v>
      </c>
      <c r="D14" s="5" t="s">
        <v>36</v>
      </c>
      <c r="E14" s="5" t="s">
        <v>42</v>
      </c>
      <c r="F14" s="5" t="s">
        <v>30</v>
      </c>
      <c r="G14" s="5" t="s">
        <v>32</v>
      </c>
      <c r="H14" s="5" t="s">
        <v>32</v>
      </c>
      <c r="I14" s="5" t="s">
        <v>32</v>
      </c>
      <c r="J14" s="5" t="s">
        <v>32</v>
      </c>
      <c r="K14" s="5" t="s">
        <v>32</v>
      </c>
      <c r="L14" s="5" t="s">
        <v>32</v>
      </c>
      <c r="M14" s="5" t="s">
        <v>32</v>
      </c>
      <c r="N14" s="5" t="s">
        <v>32</v>
      </c>
      <c r="O14" s="5" t="s">
        <v>32</v>
      </c>
      <c r="P14" s="5" t="s">
        <v>32</v>
      </c>
      <c r="Q14" s="5" t="s">
        <v>32</v>
      </c>
      <c r="R14" s="5" t="s">
        <v>32</v>
      </c>
      <c r="S14" s="5" t="s">
        <v>32</v>
      </c>
      <c r="T14" s="5" t="s">
        <v>32</v>
      </c>
      <c r="U14" s="5" t="s">
        <v>32</v>
      </c>
      <c r="V14" s="5" t="s">
        <v>32</v>
      </c>
      <c r="W14" s="5" t="s">
        <v>32</v>
      </c>
      <c r="X14" s="5" t="s">
        <v>32</v>
      </c>
      <c r="Y14" s="5" t="s">
        <v>32</v>
      </c>
      <c r="Z14" s="6" t="s">
        <v>32</v>
      </c>
    </row>
    <row r="15" spans="1:26" ht="27" thickBot="1" x14ac:dyDescent="0.35">
      <c r="A15" s="7">
        <v>46358.54347222222</v>
      </c>
      <c r="B15" s="8" t="s">
        <v>26</v>
      </c>
      <c r="C15" s="8" t="s">
        <v>27</v>
      </c>
      <c r="D15" s="8" t="s">
        <v>36</v>
      </c>
      <c r="E15" s="8" t="s">
        <v>38</v>
      </c>
      <c r="F15" s="8" t="s">
        <v>39</v>
      </c>
      <c r="G15" s="8" t="s">
        <v>31</v>
      </c>
      <c r="H15" s="8" t="s">
        <v>31</v>
      </c>
      <c r="I15" s="8" t="s">
        <v>31</v>
      </c>
      <c r="J15" s="8" t="s">
        <v>32</v>
      </c>
      <c r="K15" s="8" t="s">
        <v>32</v>
      </c>
      <c r="L15" s="8" t="s">
        <v>31</v>
      </c>
      <c r="M15" s="8" t="s">
        <v>31</v>
      </c>
      <c r="N15" s="8" t="s">
        <v>31</v>
      </c>
      <c r="O15" s="8" t="s">
        <v>31</v>
      </c>
      <c r="P15" s="8" t="s">
        <v>31</v>
      </c>
      <c r="Q15" s="8" t="s">
        <v>31</v>
      </c>
      <c r="R15" s="8" t="s">
        <v>31</v>
      </c>
      <c r="S15" s="8" t="s">
        <v>31</v>
      </c>
      <c r="T15" s="8" t="s">
        <v>31</v>
      </c>
      <c r="U15" s="8" t="s">
        <v>31</v>
      </c>
      <c r="V15" s="8" t="s">
        <v>31</v>
      </c>
      <c r="W15" s="8" t="s">
        <v>31</v>
      </c>
      <c r="X15" s="8" t="s">
        <v>31</v>
      </c>
      <c r="Y15" s="8" t="s">
        <v>31</v>
      </c>
      <c r="Z15" s="9" t="s">
        <v>31</v>
      </c>
    </row>
    <row r="16" spans="1:26" ht="40.200000000000003" thickBot="1" x14ac:dyDescent="0.35">
      <c r="A16" s="4">
        <v>46358.547222222223</v>
      </c>
      <c r="B16" s="5" t="s">
        <v>26</v>
      </c>
      <c r="C16" s="5" t="s">
        <v>35</v>
      </c>
      <c r="D16" s="5" t="s">
        <v>44</v>
      </c>
      <c r="E16" s="5" t="s">
        <v>38</v>
      </c>
      <c r="F16" s="5" t="s">
        <v>45</v>
      </c>
      <c r="G16" s="5" t="s">
        <v>31</v>
      </c>
      <c r="H16" s="5" t="s">
        <v>33</v>
      </c>
      <c r="I16" s="5" t="s">
        <v>33</v>
      </c>
      <c r="J16" s="5" t="s">
        <v>31</v>
      </c>
      <c r="K16" s="5" t="s">
        <v>31</v>
      </c>
      <c r="L16" s="5" t="s">
        <v>33</v>
      </c>
      <c r="M16" s="5" t="s">
        <v>31</v>
      </c>
      <c r="N16" s="5" t="s">
        <v>31</v>
      </c>
      <c r="O16" s="5" t="s">
        <v>33</v>
      </c>
      <c r="P16" s="5" t="s">
        <v>33</v>
      </c>
      <c r="Q16" s="5" t="s">
        <v>33</v>
      </c>
      <c r="R16" s="5" t="s">
        <v>31</v>
      </c>
      <c r="S16" s="5" t="s">
        <v>33</v>
      </c>
      <c r="T16" s="5" t="s">
        <v>32</v>
      </c>
      <c r="U16" s="5" t="s">
        <v>33</v>
      </c>
      <c r="V16" s="5" t="s">
        <v>31</v>
      </c>
      <c r="W16" s="5" t="s">
        <v>31</v>
      </c>
      <c r="X16" s="5" t="s">
        <v>31</v>
      </c>
      <c r="Y16" s="5" t="s">
        <v>31</v>
      </c>
      <c r="Z16" s="6" t="s">
        <v>32</v>
      </c>
    </row>
    <row r="17" spans="1:26" ht="40.200000000000003" thickBot="1" x14ac:dyDescent="0.35">
      <c r="A17" s="7">
        <v>46358.553067129629</v>
      </c>
      <c r="B17" s="8" t="s">
        <v>26</v>
      </c>
      <c r="C17" s="8" t="s">
        <v>35</v>
      </c>
      <c r="D17" s="8" t="s">
        <v>36</v>
      </c>
      <c r="E17" s="8" t="s">
        <v>38</v>
      </c>
      <c r="F17" s="8" t="s">
        <v>46</v>
      </c>
      <c r="G17" s="8" t="s">
        <v>31</v>
      </c>
      <c r="H17" s="8" t="s">
        <v>31</v>
      </c>
      <c r="I17" s="8" t="s">
        <v>31</v>
      </c>
      <c r="J17" s="8" t="s">
        <v>31</v>
      </c>
      <c r="K17" s="8" t="s">
        <v>31</v>
      </c>
      <c r="L17" s="8" t="s">
        <v>31</v>
      </c>
      <c r="M17" s="8" t="s">
        <v>31</v>
      </c>
      <c r="N17" s="8" t="s">
        <v>31</v>
      </c>
      <c r="O17" s="8" t="s">
        <v>32</v>
      </c>
      <c r="P17" s="8" t="s">
        <v>32</v>
      </c>
      <c r="Q17" s="8" t="s">
        <v>31</v>
      </c>
      <c r="R17" s="8" t="s">
        <v>31</v>
      </c>
      <c r="S17" s="8" t="s">
        <v>33</v>
      </c>
      <c r="T17" s="8" t="s">
        <v>33</v>
      </c>
      <c r="U17" s="8" t="s">
        <v>31</v>
      </c>
      <c r="V17" s="8" t="s">
        <v>32</v>
      </c>
      <c r="W17" s="8" t="s">
        <v>33</v>
      </c>
      <c r="X17" s="8" t="s">
        <v>31</v>
      </c>
      <c r="Y17" s="8" t="s">
        <v>32</v>
      </c>
      <c r="Z17" s="9" t="s">
        <v>34</v>
      </c>
    </row>
    <row r="18" spans="1:26" ht="27" thickBot="1" x14ac:dyDescent="0.35">
      <c r="A18" s="4">
        <v>46358.557673611111</v>
      </c>
      <c r="B18" s="5" t="s">
        <v>26</v>
      </c>
      <c r="C18" s="5" t="s">
        <v>27</v>
      </c>
      <c r="D18" s="5" t="s">
        <v>36</v>
      </c>
      <c r="E18" s="5" t="s">
        <v>42</v>
      </c>
      <c r="F18" s="5" t="s">
        <v>30</v>
      </c>
      <c r="G18" s="5" t="s">
        <v>33</v>
      </c>
      <c r="H18" s="5" t="s">
        <v>33</v>
      </c>
      <c r="I18" s="5" t="s">
        <v>33</v>
      </c>
      <c r="J18" s="5" t="s">
        <v>33</v>
      </c>
      <c r="K18" s="5" t="s">
        <v>33</v>
      </c>
      <c r="L18" s="5" t="s">
        <v>33</v>
      </c>
      <c r="M18" s="5" t="s">
        <v>33</v>
      </c>
      <c r="N18" s="5" t="s">
        <v>33</v>
      </c>
      <c r="O18" s="5" t="s">
        <v>33</v>
      </c>
      <c r="P18" s="5" t="s">
        <v>33</v>
      </c>
      <c r="Q18" s="5" t="s">
        <v>33</v>
      </c>
      <c r="R18" s="5" t="s">
        <v>33</v>
      </c>
      <c r="S18" s="5" t="s">
        <v>33</v>
      </c>
      <c r="T18" s="5" t="s">
        <v>33</v>
      </c>
      <c r="U18" s="5" t="s">
        <v>33</v>
      </c>
      <c r="V18" s="5" t="s">
        <v>33</v>
      </c>
      <c r="W18" s="5" t="s">
        <v>33</v>
      </c>
      <c r="X18" s="5" t="s">
        <v>33</v>
      </c>
      <c r="Y18" s="5" t="s">
        <v>33</v>
      </c>
      <c r="Z18" s="6" t="s">
        <v>33</v>
      </c>
    </row>
    <row r="19" spans="1:26" ht="27" thickBot="1" x14ac:dyDescent="0.35">
      <c r="A19" s="7">
        <v>46358.562268518515</v>
      </c>
      <c r="B19" s="8" t="s">
        <v>26</v>
      </c>
      <c r="C19" s="8" t="s">
        <v>35</v>
      </c>
      <c r="D19" s="8" t="s">
        <v>36</v>
      </c>
      <c r="E19" s="8" t="s">
        <v>38</v>
      </c>
      <c r="F19" s="8" t="s">
        <v>39</v>
      </c>
      <c r="G19" s="8" t="s">
        <v>31</v>
      </c>
      <c r="H19" s="8" t="s">
        <v>31</v>
      </c>
      <c r="I19" s="8" t="s">
        <v>32</v>
      </c>
      <c r="J19" s="8" t="s">
        <v>31</v>
      </c>
      <c r="K19" s="8" t="s">
        <v>31</v>
      </c>
      <c r="L19" s="8" t="s">
        <v>33</v>
      </c>
      <c r="M19" s="8" t="s">
        <v>31</v>
      </c>
      <c r="N19" s="8" t="s">
        <v>33</v>
      </c>
      <c r="O19" s="8" t="s">
        <v>31</v>
      </c>
      <c r="P19" s="8" t="s">
        <v>31</v>
      </c>
      <c r="Q19" s="8" t="s">
        <v>32</v>
      </c>
      <c r="R19" s="8" t="s">
        <v>31</v>
      </c>
      <c r="S19" s="8" t="s">
        <v>31</v>
      </c>
      <c r="T19" s="8" t="s">
        <v>32</v>
      </c>
      <c r="U19" s="8" t="s">
        <v>31</v>
      </c>
      <c r="V19" s="8" t="s">
        <v>31</v>
      </c>
      <c r="W19" s="8" t="s">
        <v>32</v>
      </c>
      <c r="X19" s="8" t="s">
        <v>33</v>
      </c>
      <c r="Y19" s="8" t="s">
        <v>32</v>
      </c>
      <c r="Z19" s="9" t="s">
        <v>31</v>
      </c>
    </row>
    <row r="20" spans="1:26" ht="40.200000000000003" thickBot="1" x14ac:dyDescent="0.35">
      <c r="A20" s="4">
        <v>46358.78224537037</v>
      </c>
      <c r="B20" s="5" t="s">
        <v>37</v>
      </c>
      <c r="C20" s="5" t="s">
        <v>35</v>
      </c>
      <c r="D20" s="5" t="s">
        <v>28</v>
      </c>
      <c r="E20" s="5" t="s">
        <v>38</v>
      </c>
      <c r="F20" s="5" t="s">
        <v>45</v>
      </c>
      <c r="G20" s="5" t="s">
        <v>34</v>
      </c>
      <c r="H20" s="5" t="s">
        <v>34</v>
      </c>
      <c r="I20" s="5" t="s">
        <v>43</v>
      </c>
      <c r="J20" s="5" t="s">
        <v>43</v>
      </c>
      <c r="K20" s="5" t="s">
        <v>43</v>
      </c>
      <c r="L20" s="5" t="s">
        <v>32</v>
      </c>
      <c r="M20" s="5" t="s">
        <v>34</v>
      </c>
      <c r="N20" s="5" t="s">
        <v>34</v>
      </c>
      <c r="O20" s="5" t="s">
        <v>34</v>
      </c>
      <c r="P20" s="5" t="s">
        <v>34</v>
      </c>
      <c r="Q20" s="5" t="s">
        <v>34</v>
      </c>
      <c r="R20" s="5" t="s">
        <v>31</v>
      </c>
      <c r="S20" s="5" t="s">
        <v>31</v>
      </c>
      <c r="T20" s="5" t="s">
        <v>31</v>
      </c>
      <c r="U20" s="5" t="s">
        <v>31</v>
      </c>
      <c r="V20" s="5" t="s">
        <v>31</v>
      </c>
      <c r="W20" s="5" t="s">
        <v>32</v>
      </c>
      <c r="X20" s="5" t="s">
        <v>34</v>
      </c>
      <c r="Y20" s="5" t="s">
        <v>32</v>
      </c>
      <c r="Z20" s="6" t="s">
        <v>32</v>
      </c>
    </row>
    <row r="21" spans="1:26" ht="27" thickBot="1" x14ac:dyDescent="0.35">
      <c r="A21" s="7">
        <v>46358.808622685188</v>
      </c>
      <c r="B21" s="8" t="s">
        <v>26</v>
      </c>
      <c r="C21" s="8" t="s">
        <v>27</v>
      </c>
      <c r="D21" s="8" t="s">
        <v>36</v>
      </c>
      <c r="E21" s="8" t="s">
        <v>38</v>
      </c>
      <c r="F21" s="8" t="s">
        <v>30</v>
      </c>
      <c r="G21" s="8" t="s">
        <v>31</v>
      </c>
      <c r="H21" s="8" t="s">
        <v>31</v>
      </c>
      <c r="I21" s="8" t="s">
        <v>31</v>
      </c>
      <c r="J21" s="8" t="s">
        <v>31</v>
      </c>
      <c r="K21" s="8" t="s">
        <v>31</v>
      </c>
      <c r="L21" s="8" t="s">
        <v>33</v>
      </c>
      <c r="M21" s="8" t="s">
        <v>33</v>
      </c>
      <c r="N21" s="8" t="s">
        <v>31</v>
      </c>
      <c r="O21" s="8" t="s">
        <v>33</v>
      </c>
      <c r="P21" s="8" t="s">
        <v>33</v>
      </c>
      <c r="Q21" s="8" t="s">
        <v>32</v>
      </c>
      <c r="R21" s="8" t="s">
        <v>32</v>
      </c>
      <c r="S21" s="8" t="s">
        <v>31</v>
      </c>
      <c r="T21" s="8" t="s">
        <v>31</v>
      </c>
      <c r="U21" s="8" t="s">
        <v>31</v>
      </c>
      <c r="V21" s="8" t="s">
        <v>33</v>
      </c>
      <c r="W21" s="8" t="s">
        <v>31</v>
      </c>
      <c r="X21" s="8" t="s">
        <v>33</v>
      </c>
      <c r="Y21" s="8" t="s">
        <v>31</v>
      </c>
      <c r="Z21" s="9" t="s">
        <v>31</v>
      </c>
    </row>
    <row r="22" spans="1:26" ht="40.200000000000003" thickBot="1" x14ac:dyDescent="0.35">
      <c r="A22" s="4">
        <v>46358.843935185185</v>
      </c>
      <c r="B22" s="5" t="s">
        <v>26</v>
      </c>
      <c r="C22" s="5" t="s">
        <v>35</v>
      </c>
      <c r="D22" s="5" t="s">
        <v>36</v>
      </c>
      <c r="E22" s="5" t="s">
        <v>38</v>
      </c>
      <c r="F22" s="5" t="s">
        <v>45</v>
      </c>
      <c r="G22" s="5" t="s">
        <v>31</v>
      </c>
      <c r="H22" s="5" t="s">
        <v>32</v>
      </c>
      <c r="I22" s="5" t="s">
        <v>32</v>
      </c>
      <c r="J22" s="5" t="s">
        <v>32</v>
      </c>
      <c r="K22" s="5" t="s">
        <v>31</v>
      </c>
      <c r="L22" s="5" t="s">
        <v>32</v>
      </c>
      <c r="M22" s="5" t="s">
        <v>32</v>
      </c>
      <c r="N22" s="5" t="s">
        <v>32</v>
      </c>
      <c r="O22" s="5" t="s">
        <v>31</v>
      </c>
      <c r="P22" s="5" t="s">
        <v>32</v>
      </c>
      <c r="Q22" s="5" t="s">
        <v>31</v>
      </c>
      <c r="R22" s="5" t="s">
        <v>33</v>
      </c>
      <c r="S22" s="5" t="s">
        <v>33</v>
      </c>
      <c r="T22" s="5" t="s">
        <v>33</v>
      </c>
      <c r="U22" s="5" t="s">
        <v>31</v>
      </c>
      <c r="V22" s="5" t="s">
        <v>33</v>
      </c>
      <c r="W22" s="5" t="s">
        <v>33</v>
      </c>
      <c r="X22" s="5" t="s">
        <v>33</v>
      </c>
      <c r="Y22" s="5" t="s">
        <v>31</v>
      </c>
      <c r="Z22" s="6" t="s">
        <v>31</v>
      </c>
    </row>
    <row r="23" spans="1:26" ht="27" thickBot="1" x14ac:dyDescent="0.35">
      <c r="A23" s="7">
        <v>46358.928194444445</v>
      </c>
      <c r="B23" s="8" t="s">
        <v>37</v>
      </c>
      <c r="C23" s="8" t="s">
        <v>27</v>
      </c>
      <c r="D23" s="8" t="s">
        <v>36</v>
      </c>
      <c r="E23" s="8" t="s">
        <v>38</v>
      </c>
      <c r="F23" s="8" t="s">
        <v>30</v>
      </c>
      <c r="G23" s="8" t="s">
        <v>31</v>
      </c>
      <c r="H23" s="8" t="s">
        <v>32</v>
      </c>
      <c r="I23" s="8" t="s">
        <v>31</v>
      </c>
      <c r="J23" s="8" t="s">
        <v>32</v>
      </c>
      <c r="K23" s="8" t="s">
        <v>32</v>
      </c>
      <c r="L23" s="8" t="s">
        <v>31</v>
      </c>
      <c r="M23" s="8" t="s">
        <v>31</v>
      </c>
      <c r="N23" s="8" t="s">
        <v>31</v>
      </c>
      <c r="O23" s="8" t="s">
        <v>31</v>
      </c>
      <c r="P23" s="8" t="s">
        <v>31</v>
      </c>
      <c r="Q23" s="8" t="s">
        <v>33</v>
      </c>
      <c r="R23" s="8" t="s">
        <v>31</v>
      </c>
      <c r="S23" s="8" t="s">
        <v>33</v>
      </c>
      <c r="T23" s="8" t="s">
        <v>31</v>
      </c>
      <c r="U23" s="8" t="s">
        <v>31</v>
      </c>
      <c r="V23" s="8" t="s">
        <v>31</v>
      </c>
      <c r="W23" s="8" t="s">
        <v>32</v>
      </c>
      <c r="X23" s="8" t="s">
        <v>31</v>
      </c>
      <c r="Y23" s="8" t="s">
        <v>32</v>
      </c>
      <c r="Z23" s="9" t="s">
        <v>31</v>
      </c>
    </row>
    <row r="24" spans="1:26" ht="27" thickBot="1" x14ac:dyDescent="0.35">
      <c r="A24" s="10" t="s">
        <v>47</v>
      </c>
      <c r="B24" s="5" t="s">
        <v>26</v>
      </c>
      <c r="C24" s="5" t="s">
        <v>35</v>
      </c>
      <c r="D24" s="5" t="s">
        <v>36</v>
      </c>
      <c r="E24" s="5" t="s">
        <v>42</v>
      </c>
      <c r="F24" s="5" t="s">
        <v>30</v>
      </c>
      <c r="G24" s="5" t="s">
        <v>33</v>
      </c>
      <c r="H24" s="5" t="s">
        <v>31</v>
      </c>
      <c r="I24" s="5" t="s">
        <v>31</v>
      </c>
      <c r="J24" s="5" t="s">
        <v>31</v>
      </c>
      <c r="K24" s="5" t="s">
        <v>31</v>
      </c>
      <c r="L24" s="5" t="s">
        <v>33</v>
      </c>
      <c r="M24" s="5" t="s">
        <v>33</v>
      </c>
      <c r="N24" s="5" t="s">
        <v>33</v>
      </c>
      <c r="O24" s="5" t="s">
        <v>33</v>
      </c>
      <c r="P24" s="5" t="s">
        <v>33</v>
      </c>
      <c r="Q24" s="5" t="s">
        <v>33</v>
      </c>
      <c r="R24" s="5" t="s">
        <v>33</v>
      </c>
      <c r="S24" s="5" t="s">
        <v>33</v>
      </c>
      <c r="T24" s="5" t="s">
        <v>33</v>
      </c>
      <c r="U24" s="5" t="s">
        <v>31</v>
      </c>
      <c r="V24" s="5" t="s">
        <v>33</v>
      </c>
      <c r="W24" s="5" t="s">
        <v>33</v>
      </c>
      <c r="X24" s="5" t="s">
        <v>33</v>
      </c>
      <c r="Y24" s="5" t="s">
        <v>33</v>
      </c>
      <c r="Z24" s="6" t="s">
        <v>32</v>
      </c>
    </row>
    <row r="25" spans="1:26" ht="27" thickBot="1" x14ac:dyDescent="0.35">
      <c r="A25" s="11" t="s">
        <v>48</v>
      </c>
      <c r="B25" s="8" t="s">
        <v>26</v>
      </c>
      <c r="C25" s="8" t="s">
        <v>35</v>
      </c>
      <c r="D25" s="8" t="s">
        <v>36</v>
      </c>
      <c r="E25" s="8" t="s">
        <v>29</v>
      </c>
      <c r="F25" s="8" t="s">
        <v>41</v>
      </c>
      <c r="G25" s="8" t="s">
        <v>32</v>
      </c>
      <c r="H25" s="8" t="s">
        <v>32</v>
      </c>
      <c r="I25" s="8" t="s">
        <v>32</v>
      </c>
      <c r="J25" s="8" t="s">
        <v>32</v>
      </c>
      <c r="K25" s="8" t="s">
        <v>32</v>
      </c>
      <c r="L25" s="8" t="s">
        <v>32</v>
      </c>
      <c r="M25" s="8" t="s">
        <v>32</v>
      </c>
      <c r="N25" s="8" t="s">
        <v>31</v>
      </c>
      <c r="O25" s="8" t="s">
        <v>31</v>
      </c>
      <c r="P25" s="8" t="s">
        <v>31</v>
      </c>
      <c r="Q25" s="8" t="s">
        <v>31</v>
      </c>
      <c r="R25" s="8" t="s">
        <v>31</v>
      </c>
      <c r="S25" s="8" t="s">
        <v>31</v>
      </c>
      <c r="T25" s="8" t="s">
        <v>31</v>
      </c>
      <c r="U25" s="8" t="s">
        <v>31</v>
      </c>
      <c r="V25" s="8" t="s">
        <v>31</v>
      </c>
      <c r="W25" s="8" t="s">
        <v>31</v>
      </c>
      <c r="X25" s="8" t="s">
        <v>31</v>
      </c>
      <c r="Y25" s="8" t="s">
        <v>31</v>
      </c>
      <c r="Z25" s="9" t="s">
        <v>31</v>
      </c>
    </row>
    <row r="26" spans="1:26" ht="27" thickBot="1" x14ac:dyDescent="0.35">
      <c r="A26" s="10" t="s">
        <v>49</v>
      </c>
      <c r="B26" s="5" t="s">
        <v>26</v>
      </c>
      <c r="C26" s="5" t="s">
        <v>27</v>
      </c>
      <c r="D26" s="5" t="s">
        <v>36</v>
      </c>
      <c r="E26" s="5" t="s">
        <v>38</v>
      </c>
      <c r="F26" s="5" t="s">
        <v>41</v>
      </c>
      <c r="G26" s="5" t="s">
        <v>34</v>
      </c>
      <c r="H26" s="5" t="s">
        <v>34</v>
      </c>
      <c r="I26" s="5" t="s">
        <v>32</v>
      </c>
      <c r="J26" s="5" t="s">
        <v>32</v>
      </c>
      <c r="K26" s="5" t="s">
        <v>34</v>
      </c>
      <c r="L26" s="5" t="s">
        <v>31</v>
      </c>
      <c r="M26" s="5" t="s">
        <v>31</v>
      </c>
      <c r="N26" s="5" t="s">
        <v>31</v>
      </c>
      <c r="O26" s="5" t="s">
        <v>32</v>
      </c>
      <c r="P26" s="5" t="s">
        <v>31</v>
      </c>
      <c r="Q26" s="5" t="s">
        <v>32</v>
      </c>
      <c r="R26" s="5" t="s">
        <v>31</v>
      </c>
      <c r="S26" s="5" t="s">
        <v>31</v>
      </c>
      <c r="T26" s="5" t="s">
        <v>31</v>
      </c>
      <c r="U26" s="5" t="s">
        <v>31</v>
      </c>
      <c r="V26" s="5" t="s">
        <v>31</v>
      </c>
      <c r="W26" s="5" t="s">
        <v>34</v>
      </c>
      <c r="X26" s="5" t="s">
        <v>32</v>
      </c>
      <c r="Y26" s="5" t="s">
        <v>31</v>
      </c>
      <c r="Z26" s="6" t="s">
        <v>34</v>
      </c>
    </row>
    <row r="27" spans="1:26" ht="27" thickBot="1" x14ac:dyDescent="0.35">
      <c r="A27" s="11" t="s">
        <v>50</v>
      </c>
      <c r="B27" s="8" t="s">
        <v>26</v>
      </c>
      <c r="C27" s="8" t="s">
        <v>27</v>
      </c>
      <c r="D27" s="8" t="s">
        <v>36</v>
      </c>
      <c r="E27" s="8" t="s">
        <v>38</v>
      </c>
      <c r="F27" s="8" t="s">
        <v>30</v>
      </c>
      <c r="G27" s="8" t="s">
        <v>31</v>
      </c>
      <c r="H27" s="8" t="s">
        <v>32</v>
      </c>
      <c r="I27" s="8" t="s">
        <v>31</v>
      </c>
      <c r="J27" s="8" t="s">
        <v>32</v>
      </c>
      <c r="K27" s="8" t="s">
        <v>31</v>
      </c>
      <c r="L27" s="8" t="s">
        <v>31</v>
      </c>
      <c r="M27" s="8" t="s">
        <v>31</v>
      </c>
      <c r="N27" s="8" t="s">
        <v>31</v>
      </c>
      <c r="O27" s="8" t="s">
        <v>31</v>
      </c>
      <c r="P27" s="8" t="s">
        <v>31</v>
      </c>
      <c r="Q27" s="8" t="s">
        <v>32</v>
      </c>
      <c r="R27" s="8" t="s">
        <v>31</v>
      </c>
      <c r="S27" s="8" t="s">
        <v>31</v>
      </c>
      <c r="T27" s="8" t="s">
        <v>31</v>
      </c>
      <c r="U27" s="8" t="s">
        <v>31</v>
      </c>
      <c r="V27" s="8" t="s">
        <v>31</v>
      </c>
      <c r="W27" s="8" t="s">
        <v>31</v>
      </c>
      <c r="X27" s="8" t="s">
        <v>31</v>
      </c>
      <c r="Y27" s="8" t="s">
        <v>31</v>
      </c>
      <c r="Z27" s="9" t="s">
        <v>32</v>
      </c>
    </row>
    <row r="28" spans="1:26" ht="40.200000000000003" thickBot="1" x14ac:dyDescent="0.35">
      <c r="A28" s="10" t="s">
        <v>51</v>
      </c>
      <c r="B28" s="5" t="s">
        <v>26</v>
      </c>
      <c r="C28" s="5" t="s">
        <v>27</v>
      </c>
      <c r="D28" s="5" t="s">
        <v>28</v>
      </c>
      <c r="E28" s="5" t="s">
        <v>40</v>
      </c>
      <c r="F28" s="5" t="s">
        <v>30</v>
      </c>
      <c r="G28" s="5" t="s">
        <v>31</v>
      </c>
      <c r="H28" s="5" t="s">
        <v>32</v>
      </c>
      <c r="I28" s="5" t="s">
        <v>31</v>
      </c>
      <c r="J28" s="5" t="s">
        <v>33</v>
      </c>
      <c r="K28" s="5" t="s">
        <v>31</v>
      </c>
      <c r="L28" s="5" t="s">
        <v>31</v>
      </c>
      <c r="M28" s="5" t="s">
        <v>31</v>
      </c>
      <c r="N28" s="5" t="s">
        <v>31</v>
      </c>
      <c r="O28" s="5" t="s">
        <v>33</v>
      </c>
      <c r="P28" s="5" t="s">
        <v>33</v>
      </c>
      <c r="Q28" s="5" t="s">
        <v>32</v>
      </c>
      <c r="R28" s="5" t="s">
        <v>32</v>
      </c>
      <c r="S28" s="5" t="s">
        <v>33</v>
      </c>
      <c r="T28" s="5" t="s">
        <v>31</v>
      </c>
      <c r="U28" s="5" t="s">
        <v>31</v>
      </c>
      <c r="V28" s="5" t="s">
        <v>33</v>
      </c>
      <c r="W28" s="5" t="s">
        <v>33</v>
      </c>
      <c r="X28" s="5" t="s">
        <v>33</v>
      </c>
      <c r="Y28" s="5" t="s">
        <v>31</v>
      </c>
      <c r="Z28" s="6" t="s">
        <v>33</v>
      </c>
    </row>
    <row r="29" spans="1:26" ht="27" thickBot="1" x14ac:dyDescent="0.35">
      <c r="A29" s="11" t="s">
        <v>52</v>
      </c>
      <c r="B29" s="8" t="s">
        <v>26</v>
      </c>
      <c r="C29" s="8" t="s">
        <v>35</v>
      </c>
      <c r="D29" s="8" t="s">
        <v>44</v>
      </c>
      <c r="E29" s="8" t="s">
        <v>42</v>
      </c>
      <c r="F29" s="8" t="s">
        <v>41</v>
      </c>
      <c r="G29" s="8" t="s">
        <v>43</v>
      </c>
      <c r="H29" s="8" t="s">
        <v>32</v>
      </c>
      <c r="I29" s="8" t="s">
        <v>43</v>
      </c>
      <c r="J29" s="8" t="s">
        <v>34</v>
      </c>
      <c r="K29" s="8" t="s">
        <v>31</v>
      </c>
      <c r="L29" s="8" t="s">
        <v>43</v>
      </c>
      <c r="M29" s="8" t="s">
        <v>43</v>
      </c>
      <c r="N29" s="8" t="s">
        <v>32</v>
      </c>
      <c r="O29" s="8" t="s">
        <v>32</v>
      </c>
      <c r="P29" s="8" t="s">
        <v>33</v>
      </c>
      <c r="Q29" s="8" t="s">
        <v>43</v>
      </c>
      <c r="R29" s="8" t="s">
        <v>43</v>
      </c>
      <c r="S29" s="8" t="s">
        <v>32</v>
      </c>
      <c r="T29" s="8" t="s">
        <v>33</v>
      </c>
      <c r="U29" s="8" t="s">
        <v>43</v>
      </c>
      <c r="V29" s="8" t="s">
        <v>34</v>
      </c>
      <c r="W29" s="8" t="s">
        <v>32</v>
      </c>
      <c r="X29" s="8" t="s">
        <v>31</v>
      </c>
      <c r="Y29" s="8" t="s">
        <v>33</v>
      </c>
      <c r="Z29" s="9" t="s">
        <v>43</v>
      </c>
    </row>
    <row r="30" spans="1:26" ht="27" thickBot="1" x14ac:dyDescent="0.35">
      <c r="A30" s="10" t="s">
        <v>53</v>
      </c>
      <c r="B30" s="5" t="s">
        <v>26</v>
      </c>
      <c r="C30" s="5" t="s">
        <v>27</v>
      </c>
      <c r="D30" s="5" t="s">
        <v>36</v>
      </c>
      <c r="E30" s="5" t="s">
        <v>29</v>
      </c>
      <c r="F30" s="5" t="s">
        <v>30</v>
      </c>
      <c r="G30" s="5" t="s">
        <v>32</v>
      </c>
      <c r="H30" s="5" t="s">
        <v>32</v>
      </c>
      <c r="I30" s="5" t="s">
        <v>34</v>
      </c>
      <c r="J30" s="5" t="s">
        <v>32</v>
      </c>
      <c r="K30" s="5" t="s">
        <v>32</v>
      </c>
      <c r="L30" s="5" t="s">
        <v>32</v>
      </c>
      <c r="M30" s="5" t="s">
        <v>32</v>
      </c>
      <c r="N30" s="5" t="s">
        <v>32</v>
      </c>
      <c r="O30" s="5" t="s">
        <v>32</v>
      </c>
      <c r="P30" s="5" t="s">
        <v>32</v>
      </c>
      <c r="Q30" s="5" t="s">
        <v>32</v>
      </c>
      <c r="R30" s="5" t="s">
        <v>32</v>
      </c>
      <c r="S30" s="5" t="s">
        <v>32</v>
      </c>
      <c r="T30" s="5" t="s">
        <v>32</v>
      </c>
      <c r="U30" s="5" t="s">
        <v>32</v>
      </c>
      <c r="V30" s="5" t="s">
        <v>32</v>
      </c>
      <c r="W30" s="5" t="s">
        <v>32</v>
      </c>
      <c r="X30" s="5" t="s">
        <v>32</v>
      </c>
      <c r="Y30" s="5" t="s">
        <v>32</v>
      </c>
      <c r="Z30" s="6" t="s">
        <v>32</v>
      </c>
    </row>
    <row r="31" spans="1:26" ht="27" thickBot="1" x14ac:dyDescent="0.35">
      <c r="A31" s="11" t="s">
        <v>54</v>
      </c>
      <c r="B31" s="8" t="s">
        <v>26</v>
      </c>
      <c r="C31" s="8" t="s">
        <v>27</v>
      </c>
      <c r="D31" s="8" t="s">
        <v>28</v>
      </c>
      <c r="E31" s="8" t="s">
        <v>29</v>
      </c>
      <c r="F31" s="8" t="s">
        <v>30</v>
      </c>
      <c r="G31" s="8" t="s">
        <v>31</v>
      </c>
      <c r="H31" s="8" t="s">
        <v>32</v>
      </c>
      <c r="I31" s="8" t="s">
        <v>31</v>
      </c>
      <c r="J31" s="8" t="s">
        <v>33</v>
      </c>
      <c r="K31" s="8" t="s">
        <v>32</v>
      </c>
      <c r="L31" s="8" t="s">
        <v>33</v>
      </c>
      <c r="M31" s="8" t="s">
        <v>33</v>
      </c>
      <c r="N31" s="8" t="s">
        <v>33</v>
      </c>
      <c r="O31" s="8" t="s">
        <v>33</v>
      </c>
      <c r="P31" s="8" t="s">
        <v>33</v>
      </c>
      <c r="Q31" s="8" t="s">
        <v>31</v>
      </c>
      <c r="R31" s="8" t="s">
        <v>33</v>
      </c>
      <c r="S31" s="8" t="s">
        <v>33</v>
      </c>
      <c r="T31" s="8" t="s">
        <v>33</v>
      </c>
      <c r="U31" s="8" t="s">
        <v>33</v>
      </c>
      <c r="V31" s="8" t="s">
        <v>33</v>
      </c>
      <c r="W31" s="8" t="s">
        <v>31</v>
      </c>
      <c r="X31" s="8" t="s">
        <v>33</v>
      </c>
      <c r="Y31" s="8" t="s">
        <v>31</v>
      </c>
      <c r="Z31" s="9" t="s">
        <v>32</v>
      </c>
    </row>
    <row r="32" spans="1:26" ht="27" thickBot="1" x14ac:dyDescent="0.35">
      <c r="A32" s="10" t="s">
        <v>55</v>
      </c>
      <c r="B32" s="5" t="s">
        <v>26</v>
      </c>
      <c r="C32" s="5" t="s">
        <v>27</v>
      </c>
      <c r="D32" s="5" t="s">
        <v>28</v>
      </c>
      <c r="E32" s="5" t="s">
        <v>38</v>
      </c>
      <c r="F32" s="5" t="s">
        <v>30</v>
      </c>
      <c r="G32" s="5" t="s">
        <v>31</v>
      </c>
      <c r="H32" s="5" t="s">
        <v>32</v>
      </c>
      <c r="I32" s="5" t="s">
        <v>31</v>
      </c>
      <c r="J32" s="5" t="s">
        <v>31</v>
      </c>
      <c r="K32" s="5" t="s">
        <v>31</v>
      </c>
      <c r="L32" s="5" t="s">
        <v>33</v>
      </c>
      <c r="M32" s="5" t="s">
        <v>33</v>
      </c>
      <c r="N32" s="5" t="s">
        <v>33</v>
      </c>
      <c r="O32" s="5" t="s">
        <v>33</v>
      </c>
      <c r="P32" s="5" t="s">
        <v>33</v>
      </c>
      <c r="Q32" s="5" t="s">
        <v>31</v>
      </c>
      <c r="R32" s="5" t="s">
        <v>31</v>
      </c>
      <c r="S32" s="5" t="s">
        <v>31</v>
      </c>
      <c r="T32" s="5" t="s">
        <v>31</v>
      </c>
      <c r="U32" s="5" t="s">
        <v>31</v>
      </c>
      <c r="V32" s="5" t="s">
        <v>31</v>
      </c>
      <c r="W32" s="5" t="s">
        <v>31</v>
      </c>
      <c r="X32" s="5" t="s">
        <v>31</v>
      </c>
      <c r="Y32" s="5" t="s">
        <v>31</v>
      </c>
      <c r="Z32" s="6" t="s">
        <v>31</v>
      </c>
    </row>
    <row r="33" spans="1:26" ht="27" thickBot="1" x14ac:dyDescent="0.35">
      <c r="A33" s="11" t="s">
        <v>56</v>
      </c>
      <c r="B33" s="8" t="s">
        <v>26</v>
      </c>
      <c r="C33" s="8" t="s">
        <v>27</v>
      </c>
      <c r="D33" s="8" t="s">
        <v>36</v>
      </c>
      <c r="E33" s="8" t="s">
        <v>38</v>
      </c>
      <c r="F33" s="8" t="s">
        <v>30</v>
      </c>
      <c r="G33" s="8" t="s">
        <v>43</v>
      </c>
      <c r="H33" s="8" t="s">
        <v>32</v>
      </c>
      <c r="I33" s="8" t="s">
        <v>31</v>
      </c>
      <c r="J33" s="8" t="s">
        <v>32</v>
      </c>
      <c r="K33" s="8" t="s">
        <v>31</v>
      </c>
      <c r="L33" s="8" t="s">
        <v>33</v>
      </c>
      <c r="M33" s="8" t="s">
        <v>31</v>
      </c>
      <c r="N33" s="8" t="s">
        <v>31</v>
      </c>
      <c r="O33" s="8" t="s">
        <v>33</v>
      </c>
      <c r="P33" s="8" t="s">
        <v>31</v>
      </c>
      <c r="Q33" s="8" t="s">
        <v>31</v>
      </c>
      <c r="R33" s="8" t="s">
        <v>31</v>
      </c>
      <c r="S33" s="8" t="s">
        <v>31</v>
      </c>
      <c r="T33" s="8" t="s">
        <v>31</v>
      </c>
      <c r="U33" s="8" t="s">
        <v>31</v>
      </c>
      <c r="V33" s="8" t="s">
        <v>31</v>
      </c>
      <c r="W33" s="8" t="s">
        <v>32</v>
      </c>
      <c r="X33" s="8" t="s">
        <v>31</v>
      </c>
      <c r="Y33" s="8" t="s">
        <v>32</v>
      </c>
      <c r="Z33" s="9" t="s">
        <v>32</v>
      </c>
    </row>
    <row r="34" spans="1:26" ht="40.200000000000003" thickBot="1" x14ac:dyDescent="0.35">
      <c r="A34" s="10" t="s">
        <v>57</v>
      </c>
      <c r="B34" s="5" t="s">
        <v>26</v>
      </c>
      <c r="C34" s="5" t="s">
        <v>27</v>
      </c>
      <c r="D34" s="5" t="s">
        <v>36</v>
      </c>
      <c r="E34" s="5" t="s">
        <v>38</v>
      </c>
      <c r="F34" s="5" t="s">
        <v>46</v>
      </c>
      <c r="G34" s="5" t="s">
        <v>32</v>
      </c>
      <c r="H34" s="5" t="s">
        <v>32</v>
      </c>
      <c r="I34" s="5" t="s">
        <v>32</v>
      </c>
      <c r="J34" s="5" t="s">
        <v>43</v>
      </c>
      <c r="K34" s="5" t="s">
        <v>34</v>
      </c>
      <c r="L34" s="5" t="s">
        <v>34</v>
      </c>
      <c r="M34" s="5" t="s">
        <v>31</v>
      </c>
      <c r="N34" s="5" t="s">
        <v>32</v>
      </c>
      <c r="O34" s="5" t="s">
        <v>43</v>
      </c>
      <c r="P34" s="5" t="s">
        <v>31</v>
      </c>
      <c r="Q34" s="5" t="s">
        <v>34</v>
      </c>
      <c r="R34" s="5" t="s">
        <v>31</v>
      </c>
      <c r="S34" s="5" t="s">
        <v>31</v>
      </c>
      <c r="T34" s="5" t="s">
        <v>32</v>
      </c>
      <c r="U34" s="5" t="s">
        <v>34</v>
      </c>
      <c r="V34" s="5" t="s">
        <v>32</v>
      </c>
      <c r="W34" s="5" t="s">
        <v>34</v>
      </c>
      <c r="X34" s="5" t="s">
        <v>33</v>
      </c>
      <c r="Y34" s="5" t="s">
        <v>31</v>
      </c>
      <c r="Z34" s="6" t="s">
        <v>34</v>
      </c>
    </row>
    <row r="35" spans="1:26" ht="27" thickBot="1" x14ac:dyDescent="0.35">
      <c r="A35" s="11" t="s">
        <v>58</v>
      </c>
      <c r="B35" s="8" t="s">
        <v>26</v>
      </c>
      <c r="C35" s="8" t="s">
        <v>27</v>
      </c>
      <c r="D35" s="8" t="s">
        <v>36</v>
      </c>
      <c r="E35" s="8" t="s">
        <v>42</v>
      </c>
      <c r="F35" s="8" t="s">
        <v>30</v>
      </c>
      <c r="G35" s="8" t="s">
        <v>32</v>
      </c>
      <c r="H35" s="8" t="s">
        <v>34</v>
      </c>
      <c r="I35" s="8" t="s">
        <v>34</v>
      </c>
      <c r="J35" s="8" t="s">
        <v>34</v>
      </c>
      <c r="K35" s="8" t="s">
        <v>32</v>
      </c>
      <c r="L35" s="8" t="s">
        <v>31</v>
      </c>
      <c r="M35" s="8" t="s">
        <v>31</v>
      </c>
      <c r="N35" s="8" t="s">
        <v>31</v>
      </c>
      <c r="O35" s="8" t="s">
        <v>31</v>
      </c>
      <c r="P35" s="8" t="s">
        <v>32</v>
      </c>
      <c r="Q35" s="8" t="s">
        <v>31</v>
      </c>
      <c r="R35" s="8" t="s">
        <v>32</v>
      </c>
      <c r="S35" s="8" t="s">
        <v>31</v>
      </c>
      <c r="T35" s="8" t="s">
        <v>32</v>
      </c>
      <c r="U35" s="8" t="s">
        <v>32</v>
      </c>
      <c r="V35" s="8" t="s">
        <v>31</v>
      </c>
      <c r="W35" s="8" t="s">
        <v>32</v>
      </c>
      <c r="X35" s="8" t="s">
        <v>32</v>
      </c>
      <c r="Y35" s="8" t="s">
        <v>32</v>
      </c>
      <c r="Z35" s="9" t="s">
        <v>32</v>
      </c>
    </row>
    <row r="36" spans="1:26" ht="27" thickBot="1" x14ac:dyDescent="0.35">
      <c r="A36" s="10" t="s">
        <v>59</v>
      </c>
      <c r="B36" s="5" t="s">
        <v>26</v>
      </c>
      <c r="C36" s="5" t="s">
        <v>27</v>
      </c>
      <c r="D36" s="5" t="s">
        <v>36</v>
      </c>
      <c r="E36" s="5" t="s">
        <v>29</v>
      </c>
      <c r="F36" s="5" t="s">
        <v>30</v>
      </c>
      <c r="G36" s="5" t="s">
        <v>33</v>
      </c>
      <c r="H36" s="5" t="s">
        <v>33</v>
      </c>
      <c r="I36" s="5" t="s">
        <v>33</v>
      </c>
      <c r="J36" s="5" t="s">
        <v>31</v>
      </c>
      <c r="K36" s="5" t="s">
        <v>33</v>
      </c>
      <c r="L36" s="5" t="s">
        <v>33</v>
      </c>
      <c r="M36" s="5" t="s">
        <v>33</v>
      </c>
      <c r="N36" s="5" t="s">
        <v>33</v>
      </c>
      <c r="O36" s="5" t="s">
        <v>33</v>
      </c>
      <c r="P36" s="5" t="s">
        <v>33</v>
      </c>
      <c r="Q36" s="5" t="s">
        <v>32</v>
      </c>
      <c r="R36" s="5" t="s">
        <v>32</v>
      </c>
      <c r="S36" s="5" t="s">
        <v>33</v>
      </c>
      <c r="T36" s="5" t="s">
        <v>32</v>
      </c>
      <c r="U36" s="5" t="s">
        <v>33</v>
      </c>
      <c r="V36" s="5" t="s">
        <v>31</v>
      </c>
      <c r="W36" s="5" t="s">
        <v>32</v>
      </c>
      <c r="X36" s="5" t="s">
        <v>32</v>
      </c>
      <c r="Y36" s="5" t="s">
        <v>32</v>
      </c>
      <c r="Z36" s="6" t="s">
        <v>34</v>
      </c>
    </row>
    <row r="37" spans="1:26" ht="40.200000000000003" thickBot="1" x14ac:dyDescent="0.35">
      <c r="A37" s="11" t="s">
        <v>60</v>
      </c>
      <c r="B37" s="8" t="s">
        <v>26</v>
      </c>
      <c r="C37" s="8" t="s">
        <v>27</v>
      </c>
      <c r="D37" s="8" t="s">
        <v>28</v>
      </c>
      <c r="E37" s="8" t="s">
        <v>40</v>
      </c>
      <c r="F37" s="8" t="s">
        <v>30</v>
      </c>
      <c r="G37" s="8" t="s">
        <v>33</v>
      </c>
      <c r="H37" s="8" t="s">
        <v>31</v>
      </c>
      <c r="I37" s="8" t="s">
        <v>31</v>
      </c>
      <c r="J37" s="8" t="s">
        <v>31</v>
      </c>
      <c r="K37" s="8" t="s">
        <v>31</v>
      </c>
      <c r="L37" s="8" t="s">
        <v>31</v>
      </c>
      <c r="M37" s="8" t="s">
        <v>31</v>
      </c>
      <c r="N37" s="8" t="s">
        <v>31</v>
      </c>
      <c r="O37" s="8" t="s">
        <v>31</v>
      </c>
      <c r="P37" s="8" t="s">
        <v>31</v>
      </c>
      <c r="Q37" s="8" t="s">
        <v>31</v>
      </c>
      <c r="R37" s="8" t="s">
        <v>31</v>
      </c>
      <c r="S37" s="8" t="s">
        <v>31</v>
      </c>
      <c r="T37" s="8" t="s">
        <v>31</v>
      </c>
      <c r="U37" s="8" t="s">
        <v>31</v>
      </c>
      <c r="V37" s="8" t="s">
        <v>31</v>
      </c>
      <c r="W37" s="8" t="s">
        <v>31</v>
      </c>
      <c r="X37" s="8" t="s">
        <v>31</v>
      </c>
      <c r="Y37" s="8" t="s">
        <v>31</v>
      </c>
      <c r="Z37" s="9" t="s">
        <v>31</v>
      </c>
    </row>
    <row r="38" spans="1:26" ht="27" thickBot="1" x14ac:dyDescent="0.35">
      <c r="A38" s="10" t="s">
        <v>61</v>
      </c>
      <c r="B38" s="5" t="s">
        <v>26</v>
      </c>
      <c r="C38" s="5" t="s">
        <v>27</v>
      </c>
      <c r="D38" s="5" t="s">
        <v>36</v>
      </c>
      <c r="E38" s="5" t="s">
        <v>29</v>
      </c>
      <c r="F38" s="5" t="s">
        <v>39</v>
      </c>
      <c r="G38" s="5" t="s">
        <v>31</v>
      </c>
      <c r="H38" s="5" t="s">
        <v>32</v>
      </c>
      <c r="I38" s="5" t="s">
        <v>32</v>
      </c>
      <c r="J38" s="5" t="s">
        <v>31</v>
      </c>
      <c r="K38" s="5" t="s">
        <v>31</v>
      </c>
      <c r="L38" s="5" t="s">
        <v>33</v>
      </c>
      <c r="M38" s="5" t="s">
        <v>33</v>
      </c>
      <c r="N38" s="5" t="s">
        <v>33</v>
      </c>
      <c r="O38" s="5" t="s">
        <v>33</v>
      </c>
      <c r="P38" s="5" t="s">
        <v>33</v>
      </c>
      <c r="Q38" s="5" t="s">
        <v>33</v>
      </c>
      <c r="R38" s="5" t="s">
        <v>33</v>
      </c>
      <c r="S38" s="5" t="s">
        <v>33</v>
      </c>
      <c r="T38" s="5" t="s">
        <v>33</v>
      </c>
      <c r="U38" s="5" t="s">
        <v>33</v>
      </c>
      <c r="V38" s="5" t="s">
        <v>33</v>
      </c>
      <c r="W38" s="5" t="s">
        <v>33</v>
      </c>
      <c r="X38" s="5" t="s">
        <v>33</v>
      </c>
      <c r="Y38" s="5" t="s">
        <v>33</v>
      </c>
      <c r="Z38" s="6" t="s">
        <v>33</v>
      </c>
    </row>
    <row r="39" spans="1:26" ht="27" thickBot="1" x14ac:dyDescent="0.35">
      <c r="A39" s="11" t="s">
        <v>62</v>
      </c>
      <c r="B39" s="8" t="s">
        <v>63</v>
      </c>
      <c r="C39" s="8" t="s">
        <v>35</v>
      </c>
      <c r="D39" s="8" t="s">
        <v>44</v>
      </c>
      <c r="E39" s="8" t="s">
        <v>29</v>
      </c>
      <c r="F39" s="8" t="s">
        <v>41</v>
      </c>
      <c r="G39" s="8" t="s">
        <v>33</v>
      </c>
      <c r="H39" s="8" t="s">
        <v>43</v>
      </c>
      <c r="I39" s="8" t="s">
        <v>43</v>
      </c>
      <c r="J39" s="8" t="s">
        <v>43</v>
      </c>
      <c r="K39" s="8" t="s">
        <v>43</v>
      </c>
      <c r="L39" s="8" t="s">
        <v>43</v>
      </c>
      <c r="M39" s="8" t="s">
        <v>43</v>
      </c>
      <c r="N39" s="8" t="s">
        <v>43</v>
      </c>
      <c r="O39" s="8" t="s">
        <v>43</v>
      </c>
      <c r="P39" s="8" t="s">
        <v>43</v>
      </c>
      <c r="Q39" s="8" t="s">
        <v>43</v>
      </c>
      <c r="R39" s="8" t="s">
        <v>43</v>
      </c>
      <c r="S39" s="8" t="s">
        <v>43</v>
      </c>
      <c r="T39" s="8" t="s">
        <v>43</v>
      </c>
      <c r="U39" s="8" t="s">
        <v>43</v>
      </c>
      <c r="V39" s="8" t="s">
        <v>43</v>
      </c>
      <c r="W39" s="8" t="s">
        <v>43</v>
      </c>
      <c r="X39" s="8" t="s">
        <v>43</v>
      </c>
      <c r="Y39" s="8" t="s">
        <v>43</v>
      </c>
      <c r="Z39" s="9" t="s">
        <v>43</v>
      </c>
    </row>
    <row r="40" spans="1:26" ht="40.200000000000003" thickBot="1" x14ac:dyDescent="0.35">
      <c r="A40" s="10" t="s">
        <v>64</v>
      </c>
      <c r="B40" s="5" t="s">
        <v>63</v>
      </c>
      <c r="C40" s="5" t="s">
        <v>27</v>
      </c>
      <c r="D40" s="5" t="s">
        <v>44</v>
      </c>
      <c r="E40" s="5" t="s">
        <v>40</v>
      </c>
      <c r="F40" s="5" t="s">
        <v>41</v>
      </c>
      <c r="G40" s="5" t="s">
        <v>33</v>
      </c>
      <c r="H40" s="5" t="s">
        <v>33</v>
      </c>
      <c r="I40" s="5" t="s">
        <v>31</v>
      </c>
      <c r="J40" s="5" t="s">
        <v>32</v>
      </c>
      <c r="K40" s="5" t="s">
        <v>33</v>
      </c>
      <c r="L40" s="5" t="s">
        <v>33</v>
      </c>
      <c r="M40" s="5" t="s">
        <v>33</v>
      </c>
      <c r="N40" s="5" t="s">
        <v>33</v>
      </c>
      <c r="O40" s="5" t="s">
        <v>33</v>
      </c>
      <c r="P40" s="5" t="s">
        <v>33</v>
      </c>
      <c r="Q40" s="5" t="s">
        <v>33</v>
      </c>
      <c r="R40" s="5" t="s">
        <v>33</v>
      </c>
      <c r="S40" s="5" t="s">
        <v>33</v>
      </c>
      <c r="T40" s="5" t="s">
        <v>33</v>
      </c>
      <c r="U40" s="5" t="s">
        <v>31</v>
      </c>
      <c r="V40" s="5" t="s">
        <v>33</v>
      </c>
      <c r="W40" s="5" t="s">
        <v>33</v>
      </c>
      <c r="X40" s="5" t="s">
        <v>33</v>
      </c>
      <c r="Y40" s="5" t="s">
        <v>33</v>
      </c>
      <c r="Z40" s="6" t="s">
        <v>33</v>
      </c>
    </row>
    <row r="41" spans="1:26" ht="40.200000000000003" thickBot="1" x14ac:dyDescent="0.35">
      <c r="A41" s="11" t="s">
        <v>65</v>
      </c>
      <c r="B41" s="8" t="s">
        <v>66</v>
      </c>
      <c r="C41" s="8" t="s">
        <v>27</v>
      </c>
      <c r="D41" s="8" t="s">
        <v>67</v>
      </c>
      <c r="E41" s="8" t="s">
        <v>40</v>
      </c>
      <c r="F41" s="8" t="s">
        <v>41</v>
      </c>
      <c r="G41" s="8" t="s">
        <v>33</v>
      </c>
      <c r="H41" s="8" t="s">
        <v>43</v>
      </c>
      <c r="I41" s="8" t="s">
        <v>33</v>
      </c>
      <c r="J41" s="8" t="s">
        <v>31</v>
      </c>
      <c r="K41" s="8" t="s">
        <v>33</v>
      </c>
      <c r="L41" s="8" t="s">
        <v>34</v>
      </c>
      <c r="M41" s="8" t="s">
        <v>31</v>
      </c>
      <c r="N41" s="8" t="s">
        <v>32</v>
      </c>
      <c r="O41" s="8" t="s">
        <v>33</v>
      </c>
      <c r="P41" s="8" t="s">
        <v>33</v>
      </c>
      <c r="Q41" s="8" t="s">
        <v>33</v>
      </c>
      <c r="R41" s="8" t="s">
        <v>33</v>
      </c>
      <c r="S41" s="8" t="s">
        <v>33</v>
      </c>
      <c r="T41" s="8" t="s">
        <v>33</v>
      </c>
      <c r="U41" s="8" t="s">
        <v>33</v>
      </c>
      <c r="V41" s="8" t="s">
        <v>33</v>
      </c>
      <c r="W41" s="8" t="s">
        <v>33</v>
      </c>
      <c r="X41" s="8" t="s">
        <v>32</v>
      </c>
      <c r="Y41" s="8" t="s">
        <v>33</v>
      </c>
      <c r="Z41" s="9" t="s">
        <v>33</v>
      </c>
    </row>
    <row r="42" spans="1:26" ht="40.200000000000003" thickBot="1" x14ac:dyDescent="0.35">
      <c r="A42" s="10" t="s">
        <v>68</v>
      </c>
      <c r="B42" s="5" t="s">
        <v>26</v>
      </c>
      <c r="C42" s="5" t="s">
        <v>35</v>
      </c>
      <c r="D42" s="5" t="s">
        <v>44</v>
      </c>
      <c r="E42" s="5" t="s">
        <v>38</v>
      </c>
      <c r="F42" s="5" t="s">
        <v>45</v>
      </c>
      <c r="G42" s="5" t="s">
        <v>32</v>
      </c>
      <c r="H42" s="5" t="s">
        <v>32</v>
      </c>
      <c r="I42" s="5" t="s">
        <v>32</v>
      </c>
      <c r="J42" s="5" t="s">
        <v>32</v>
      </c>
      <c r="K42" s="5" t="s">
        <v>32</v>
      </c>
      <c r="L42" s="5" t="s">
        <v>32</v>
      </c>
      <c r="M42" s="5" t="s">
        <v>32</v>
      </c>
      <c r="N42" s="5" t="s">
        <v>32</v>
      </c>
      <c r="O42" s="5" t="s">
        <v>32</v>
      </c>
      <c r="P42" s="5" t="s">
        <v>32</v>
      </c>
      <c r="Q42" s="5" t="s">
        <v>32</v>
      </c>
      <c r="R42" s="5" t="s">
        <v>32</v>
      </c>
      <c r="S42" s="5" t="s">
        <v>32</v>
      </c>
      <c r="T42" s="5" t="s">
        <v>32</v>
      </c>
      <c r="U42" s="5" t="s">
        <v>32</v>
      </c>
      <c r="V42" s="5" t="s">
        <v>32</v>
      </c>
      <c r="W42" s="5" t="s">
        <v>32</v>
      </c>
      <c r="X42" s="5" t="s">
        <v>32</v>
      </c>
      <c r="Y42" s="5" t="s">
        <v>32</v>
      </c>
      <c r="Z42" s="6" t="s">
        <v>32</v>
      </c>
    </row>
    <row r="43" spans="1:26" ht="40.200000000000003" thickBot="1" x14ac:dyDescent="0.35">
      <c r="A43" s="11" t="s">
        <v>69</v>
      </c>
      <c r="B43" s="8" t="s">
        <v>66</v>
      </c>
      <c r="C43" s="8" t="s">
        <v>35</v>
      </c>
      <c r="D43" s="8" t="s">
        <v>67</v>
      </c>
      <c r="E43" s="8" t="s">
        <v>40</v>
      </c>
      <c r="F43" s="8" t="s">
        <v>41</v>
      </c>
      <c r="G43" s="8" t="s">
        <v>33</v>
      </c>
      <c r="H43" s="8" t="s">
        <v>33</v>
      </c>
      <c r="I43" s="8" t="s">
        <v>31</v>
      </c>
      <c r="J43" s="8" t="s">
        <v>31</v>
      </c>
      <c r="K43" s="8" t="s">
        <v>43</v>
      </c>
      <c r="L43" s="8" t="s">
        <v>34</v>
      </c>
      <c r="M43" s="8" t="s">
        <v>33</v>
      </c>
      <c r="N43" s="8" t="s">
        <v>32</v>
      </c>
      <c r="O43" s="8" t="s">
        <v>34</v>
      </c>
      <c r="P43" s="8" t="s">
        <v>31</v>
      </c>
      <c r="Q43" s="8" t="s">
        <v>33</v>
      </c>
      <c r="R43" s="8" t="s">
        <v>31</v>
      </c>
      <c r="S43" s="8" t="s">
        <v>32</v>
      </c>
      <c r="T43" s="8" t="s">
        <v>33</v>
      </c>
      <c r="U43" s="8" t="s">
        <v>33</v>
      </c>
      <c r="V43" s="8" t="s">
        <v>34</v>
      </c>
      <c r="W43" s="8" t="s">
        <v>34</v>
      </c>
      <c r="X43" s="8" t="s">
        <v>32</v>
      </c>
      <c r="Y43" s="8" t="s">
        <v>43</v>
      </c>
      <c r="Z43" s="9" t="s">
        <v>31</v>
      </c>
    </row>
    <row r="44" spans="1:26" ht="40.200000000000003" thickBot="1" x14ac:dyDescent="0.35">
      <c r="A44" s="10" t="s">
        <v>70</v>
      </c>
      <c r="B44" s="5" t="s">
        <v>37</v>
      </c>
      <c r="C44" s="5" t="s">
        <v>35</v>
      </c>
      <c r="D44" s="5" t="s">
        <v>28</v>
      </c>
      <c r="E44" s="5" t="s">
        <v>38</v>
      </c>
      <c r="F44" s="5" t="s">
        <v>46</v>
      </c>
      <c r="G44" s="5" t="s">
        <v>34</v>
      </c>
      <c r="H44" s="5" t="s">
        <v>34</v>
      </c>
      <c r="I44" s="5" t="s">
        <v>34</v>
      </c>
      <c r="J44" s="5" t="s">
        <v>34</v>
      </c>
      <c r="K44" s="5" t="s">
        <v>34</v>
      </c>
      <c r="L44" s="5" t="s">
        <v>34</v>
      </c>
      <c r="M44" s="5" t="s">
        <v>43</v>
      </c>
      <c r="N44" s="5" t="s">
        <v>34</v>
      </c>
      <c r="O44" s="5" t="s">
        <v>32</v>
      </c>
      <c r="P44" s="5" t="s">
        <v>43</v>
      </c>
      <c r="Q44" s="5" t="s">
        <v>43</v>
      </c>
      <c r="R44" s="5" t="s">
        <v>34</v>
      </c>
      <c r="S44" s="5" t="s">
        <v>31</v>
      </c>
      <c r="T44" s="5" t="s">
        <v>31</v>
      </c>
      <c r="U44" s="5" t="s">
        <v>31</v>
      </c>
      <c r="V44" s="5" t="s">
        <v>31</v>
      </c>
      <c r="W44" s="5" t="s">
        <v>33</v>
      </c>
      <c r="X44" s="5" t="s">
        <v>31</v>
      </c>
      <c r="Y44" s="5" t="s">
        <v>31</v>
      </c>
      <c r="Z44" s="6" t="s">
        <v>33</v>
      </c>
    </row>
    <row r="45" spans="1:26" ht="40.200000000000003" thickBot="1" x14ac:dyDescent="0.35">
      <c r="A45" s="11" t="s">
        <v>71</v>
      </c>
      <c r="B45" s="8" t="s">
        <v>63</v>
      </c>
      <c r="C45" s="8" t="s">
        <v>35</v>
      </c>
      <c r="D45" s="8" t="s">
        <v>44</v>
      </c>
      <c r="E45" s="8" t="s">
        <v>29</v>
      </c>
      <c r="F45" s="8" t="s">
        <v>45</v>
      </c>
      <c r="G45" s="8" t="s">
        <v>32</v>
      </c>
      <c r="H45" s="8" t="s">
        <v>31</v>
      </c>
      <c r="I45" s="8" t="s">
        <v>34</v>
      </c>
      <c r="J45" s="8" t="s">
        <v>32</v>
      </c>
      <c r="K45" s="8" t="s">
        <v>31</v>
      </c>
      <c r="L45" s="8" t="s">
        <v>32</v>
      </c>
      <c r="M45" s="8" t="s">
        <v>32</v>
      </c>
      <c r="N45" s="8" t="s">
        <v>34</v>
      </c>
      <c r="O45" s="8" t="s">
        <v>32</v>
      </c>
      <c r="P45" s="8" t="s">
        <v>31</v>
      </c>
      <c r="Q45" s="8" t="s">
        <v>32</v>
      </c>
      <c r="R45" s="8" t="s">
        <v>31</v>
      </c>
      <c r="S45" s="8" t="s">
        <v>31</v>
      </c>
      <c r="T45" s="8" t="s">
        <v>33</v>
      </c>
      <c r="U45" s="8" t="s">
        <v>33</v>
      </c>
      <c r="V45" s="8" t="s">
        <v>34</v>
      </c>
      <c r="W45" s="8" t="s">
        <v>31</v>
      </c>
      <c r="X45" s="8" t="s">
        <v>33</v>
      </c>
      <c r="Y45" s="8" t="s">
        <v>31</v>
      </c>
      <c r="Z45" s="9" t="s">
        <v>34</v>
      </c>
    </row>
    <row r="46" spans="1:26" ht="40.200000000000003" thickBot="1" x14ac:dyDescent="0.35">
      <c r="A46" s="10" t="s">
        <v>72</v>
      </c>
      <c r="B46" s="5" t="s">
        <v>63</v>
      </c>
      <c r="C46" s="5" t="s">
        <v>35</v>
      </c>
      <c r="D46" s="5" t="s">
        <v>36</v>
      </c>
      <c r="E46" s="5" t="s">
        <v>29</v>
      </c>
      <c r="F46" s="5" t="s">
        <v>46</v>
      </c>
      <c r="G46" s="5" t="s">
        <v>31</v>
      </c>
      <c r="H46" s="5" t="s">
        <v>31</v>
      </c>
      <c r="I46" s="5" t="s">
        <v>31</v>
      </c>
      <c r="J46" s="5" t="s">
        <v>32</v>
      </c>
      <c r="K46" s="5" t="s">
        <v>31</v>
      </c>
      <c r="L46" s="5" t="s">
        <v>32</v>
      </c>
      <c r="M46" s="5" t="s">
        <v>32</v>
      </c>
      <c r="N46" s="5" t="s">
        <v>33</v>
      </c>
      <c r="O46" s="5" t="s">
        <v>33</v>
      </c>
      <c r="P46" s="5" t="s">
        <v>31</v>
      </c>
      <c r="Q46" s="5" t="s">
        <v>43</v>
      </c>
      <c r="R46" s="5" t="s">
        <v>31</v>
      </c>
      <c r="S46" s="5" t="s">
        <v>31</v>
      </c>
      <c r="T46" s="5" t="s">
        <v>32</v>
      </c>
      <c r="U46" s="5" t="s">
        <v>31</v>
      </c>
      <c r="V46" s="5" t="s">
        <v>32</v>
      </c>
      <c r="W46" s="5" t="s">
        <v>43</v>
      </c>
      <c r="X46" s="5" t="s">
        <v>31</v>
      </c>
      <c r="Y46" s="5" t="s">
        <v>32</v>
      </c>
      <c r="Z46" s="6" t="s">
        <v>31</v>
      </c>
    </row>
    <row r="47" spans="1:26" ht="40.200000000000003" thickBot="1" x14ac:dyDescent="0.35">
      <c r="A47" s="11" t="s">
        <v>73</v>
      </c>
      <c r="B47" s="8" t="s">
        <v>37</v>
      </c>
      <c r="C47" s="8" t="s">
        <v>35</v>
      </c>
      <c r="D47" s="8" t="s">
        <v>28</v>
      </c>
      <c r="E47" s="8" t="s">
        <v>29</v>
      </c>
      <c r="F47" s="8" t="s">
        <v>46</v>
      </c>
      <c r="G47" s="8" t="s">
        <v>32</v>
      </c>
      <c r="H47" s="8" t="s">
        <v>31</v>
      </c>
      <c r="I47" s="8" t="s">
        <v>34</v>
      </c>
      <c r="J47" s="8" t="s">
        <v>34</v>
      </c>
      <c r="K47" s="8" t="s">
        <v>43</v>
      </c>
      <c r="L47" s="8" t="s">
        <v>32</v>
      </c>
      <c r="M47" s="8" t="s">
        <v>32</v>
      </c>
      <c r="N47" s="8" t="s">
        <v>43</v>
      </c>
      <c r="O47" s="8" t="s">
        <v>32</v>
      </c>
      <c r="P47" s="8" t="s">
        <v>34</v>
      </c>
      <c r="Q47" s="8" t="s">
        <v>34</v>
      </c>
      <c r="R47" s="8" t="s">
        <v>32</v>
      </c>
      <c r="S47" s="8" t="s">
        <v>34</v>
      </c>
      <c r="T47" s="8" t="s">
        <v>43</v>
      </c>
      <c r="U47" s="8" t="s">
        <v>43</v>
      </c>
      <c r="V47" s="8" t="s">
        <v>43</v>
      </c>
      <c r="W47" s="8" t="s">
        <v>43</v>
      </c>
      <c r="X47" s="8" t="s">
        <v>43</v>
      </c>
      <c r="Y47" s="8" t="s">
        <v>43</v>
      </c>
      <c r="Z47" s="9" t="s">
        <v>34</v>
      </c>
    </row>
    <row r="48" spans="1:26" ht="27" thickBot="1" x14ac:dyDescent="0.35">
      <c r="A48" s="10" t="s">
        <v>74</v>
      </c>
      <c r="B48" s="5" t="s">
        <v>37</v>
      </c>
      <c r="C48" s="5" t="s">
        <v>35</v>
      </c>
      <c r="D48" s="5" t="s">
        <v>28</v>
      </c>
      <c r="E48" s="5" t="s">
        <v>38</v>
      </c>
      <c r="F48" s="5" t="s">
        <v>30</v>
      </c>
      <c r="G48" s="5" t="s">
        <v>31</v>
      </c>
      <c r="H48" s="5" t="s">
        <v>33</v>
      </c>
      <c r="I48" s="5" t="s">
        <v>31</v>
      </c>
      <c r="J48" s="5" t="s">
        <v>33</v>
      </c>
      <c r="K48" s="5" t="s">
        <v>33</v>
      </c>
      <c r="L48" s="5" t="s">
        <v>33</v>
      </c>
      <c r="M48" s="5" t="s">
        <v>33</v>
      </c>
      <c r="N48" s="5" t="s">
        <v>33</v>
      </c>
      <c r="O48" s="5" t="s">
        <v>33</v>
      </c>
      <c r="P48" s="5" t="s">
        <v>33</v>
      </c>
      <c r="Q48" s="5" t="s">
        <v>33</v>
      </c>
      <c r="R48" s="5" t="s">
        <v>33</v>
      </c>
      <c r="S48" s="5" t="s">
        <v>33</v>
      </c>
      <c r="T48" s="5" t="s">
        <v>33</v>
      </c>
      <c r="U48" s="5" t="s">
        <v>33</v>
      </c>
      <c r="V48" s="5" t="s">
        <v>33</v>
      </c>
      <c r="W48" s="5" t="s">
        <v>33</v>
      </c>
      <c r="X48" s="5" t="s">
        <v>33</v>
      </c>
      <c r="Y48" s="5" t="s">
        <v>33</v>
      </c>
      <c r="Z48" s="6" t="s">
        <v>33</v>
      </c>
    </row>
    <row r="49" spans="1:26" ht="27" thickBot="1" x14ac:dyDescent="0.35">
      <c r="A49" s="11" t="s">
        <v>75</v>
      </c>
      <c r="B49" s="8" t="s">
        <v>26</v>
      </c>
      <c r="C49" s="8" t="s">
        <v>35</v>
      </c>
      <c r="D49" s="8" t="s">
        <v>36</v>
      </c>
      <c r="E49" s="8" t="s">
        <v>42</v>
      </c>
      <c r="F49" s="8" t="s">
        <v>41</v>
      </c>
      <c r="G49" s="8" t="s">
        <v>33</v>
      </c>
      <c r="H49" s="8" t="s">
        <v>33</v>
      </c>
      <c r="I49" s="8" t="s">
        <v>33</v>
      </c>
      <c r="J49" s="8" t="s">
        <v>33</v>
      </c>
      <c r="K49" s="8" t="s">
        <v>33</v>
      </c>
      <c r="L49" s="8" t="s">
        <v>33</v>
      </c>
      <c r="M49" s="8" t="s">
        <v>33</v>
      </c>
      <c r="N49" s="8" t="s">
        <v>33</v>
      </c>
      <c r="O49" s="8" t="s">
        <v>33</v>
      </c>
      <c r="P49" s="8" t="s">
        <v>33</v>
      </c>
      <c r="Q49" s="8" t="s">
        <v>33</v>
      </c>
      <c r="R49" s="8" t="s">
        <v>33</v>
      </c>
      <c r="S49" s="8" t="s">
        <v>33</v>
      </c>
      <c r="T49" s="8" t="s">
        <v>33</v>
      </c>
      <c r="U49" s="8" t="s">
        <v>33</v>
      </c>
      <c r="V49" s="8" t="s">
        <v>33</v>
      </c>
      <c r="W49" s="8" t="s">
        <v>33</v>
      </c>
      <c r="X49" s="8" t="s">
        <v>33</v>
      </c>
      <c r="Y49" s="8" t="s">
        <v>33</v>
      </c>
      <c r="Z49" s="9" t="s">
        <v>33</v>
      </c>
    </row>
    <row r="50" spans="1:26" ht="40.200000000000003" thickBot="1" x14ac:dyDescent="0.35">
      <c r="A50" s="10" t="s">
        <v>76</v>
      </c>
      <c r="B50" s="5" t="s">
        <v>63</v>
      </c>
      <c r="C50" s="5" t="s">
        <v>27</v>
      </c>
      <c r="D50" s="5" t="s">
        <v>44</v>
      </c>
      <c r="E50" s="5" t="s">
        <v>40</v>
      </c>
      <c r="F50" s="5" t="s">
        <v>41</v>
      </c>
      <c r="G50" s="5" t="s">
        <v>33</v>
      </c>
      <c r="H50" s="5" t="s">
        <v>33</v>
      </c>
      <c r="I50" s="5" t="s">
        <v>33</v>
      </c>
      <c r="J50" s="5" t="s">
        <v>33</v>
      </c>
      <c r="K50" s="5" t="s">
        <v>33</v>
      </c>
      <c r="L50" s="5" t="s">
        <v>33</v>
      </c>
      <c r="M50" s="5" t="s">
        <v>33</v>
      </c>
      <c r="N50" s="5" t="s">
        <v>33</v>
      </c>
      <c r="O50" s="5" t="s">
        <v>33</v>
      </c>
      <c r="P50" s="5" t="s">
        <v>33</v>
      </c>
      <c r="Q50" s="5" t="s">
        <v>33</v>
      </c>
      <c r="R50" s="5" t="s">
        <v>33</v>
      </c>
      <c r="S50" s="5" t="s">
        <v>33</v>
      </c>
      <c r="T50" s="5" t="s">
        <v>33</v>
      </c>
      <c r="U50" s="5" t="s">
        <v>33</v>
      </c>
      <c r="V50" s="5" t="s">
        <v>33</v>
      </c>
      <c r="W50" s="5" t="s">
        <v>33</v>
      </c>
      <c r="X50" s="5" t="s">
        <v>33</v>
      </c>
      <c r="Y50" s="5" t="s">
        <v>33</v>
      </c>
      <c r="Z50" s="6" t="s">
        <v>33</v>
      </c>
    </row>
    <row r="51" spans="1:26" ht="27" thickBot="1" x14ac:dyDescent="0.35">
      <c r="A51" s="11" t="s">
        <v>77</v>
      </c>
      <c r="B51" s="8" t="s">
        <v>66</v>
      </c>
      <c r="C51" s="8" t="s">
        <v>35</v>
      </c>
      <c r="D51" s="8" t="s">
        <v>44</v>
      </c>
      <c r="E51" s="8" t="s">
        <v>42</v>
      </c>
      <c r="F51" s="8" t="s">
        <v>41</v>
      </c>
      <c r="G51" s="8" t="s">
        <v>32</v>
      </c>
      <c r="H51" s="8" t="s">
        <v>32</v>
      </c>
      <c r="I51" s="8" t="s">
        <v>32</v>
      </c>
      <c r="J51" s="8" t="s">
        <v>32</v>
      </c>
      <c r="K51" s="8" t="s">
        <v>32</v>
      </c>
      <c r="L51" s="8" t="s">
        <v>32</v>
      </c>
      <c r="M51" s="8" t="s">
        <v>32</v>
      </c>
      <c r="N51" s="8" t="s">
        <v>32</v>
      </c>
      <c r="O51" s="8" t="s">
        <v>32</v>
      </c>
      <c r="P51" s="8" t="s">
        <v>32</v>
      </c>
      <c r="Q51" s="8" t="s">
        <v>32</v>
      </c>
      <c r="R51" s="8" t="s">
        <v>32</v>
      </c>
      <c r="S51" s="8" t="s">
        <v>32</v>
      </c>
      <c r="T51" s="8" t="s">
        <v>32</v>
      </c>
      <c r="U51" s="8" t="s">
        <v>32</v>
      </c>
      <c r="V51" s="8" t="s">
        <v>32</v>
      </c>
      <c r="W51" s="8" t="s">
        <v>32</v>
      </c>
      <c r="X51" s="8" t="s">
        <v>32</v>
      </c>
      <c r="Y51" s="8" t="s">
        <v>32</v>
      </c>
      <c r="Z51" s="9" t="s">
        <v>32</v>
      </c>
    </row>
    <row r="52" spans="1:26" ht="27" thickBot="1" x14ac:dyDescent="0.35">
      <c r="A52" s="10" t="s">
        <v>78</v>
      </c>
      <c r="B52" s="5" t="s">
        <v>37</v>
      </c>
      <c r="C52" s="5" t="s">
        <v>27</v>
      </c>
      <c r="D52" s="5" t="s">
        <v>28</v>
      </c>
      <c r="E52" s="5" t="s">
        <v>38</v>
      </c>
      <c r="F52" s="5" t="s">
        <v>30</v>
      </c>
      <c r="G52" s="5" t="s">
        <v>31</v>
      </c>
      <c r="H52" s="5" t="s">
        <v>31</v>
      </c>
      <c r="I52" s="5" t="s">
        <v>32</v>
      </c>
      <c r="J52" s="5" t="s">
        <v>31</v>
      </c>
      <c r="K52" s="5" t="s">
        <v>33</v>
      </c>
      <c r="L52" s="5" t="s">
        <v>32</v>
      </c>
      <c r="M52" s="5" t="s">
        <v>31</v>
      </c>
      <c r="N52" s="5" t="s">
        <v>31</v>
      </c>
      <c r="O52" s="5" t="s">
        <v>31</v>
      </c>
      <c r="P52" s="5" t="s">
        <v>31</v>
      </c>
      <c r="Q52" s="5" t="s">
        <v>33</v>
      </c>
      <c r="R52" s="5" t="s">
        <v>31</v>
      </c>
      <c r="S52" s="5" t="s">
        <v>31</v>
      </c>
      <c r="T52" s="5" t="s">
        <v>31</v>
      </c>
      <c r="U52" s="5" t="s">
        <v>32</v>
      </c>
      <c r="V52" s="5" t="s">
        <v>32</v>
      </c>
      <c r="W52" s="5" t="s">
        <v>31</v>
      </c>
      <c r="X52" s="5" t="s">
        <v>31</v>
      </c>
      <c r="Y52" s="5" t="s">
        <v>31</v>
      </c>
      <c r="Z52" s="6" t="s">
        <v>32</v>
      </c>
    </row>
    <row r="53" spans="1:26" ht="40.200000000000003" thickBot="1" x14ac:dyDescent="0.35">
      <c r="A53" s="11" t="s">
        <v>79</v>
      </c>
      <c r="B53" s="8" t="s">
        <v>26</v>
      </c>
      <c r="C53" s="8" t="s">
        <v>35</v>
      </c>
      <c r="D53" s="8" t="s">
        <v>28</v>
      </c>
      <c r="E53" s="8" t="s">
        <v>42</v>
      </c>
      <c r="F53" s="8" t="s">
        <v>46</v>
      </c>
      <c r="G53" s="8" t="s">
        <v>34</v>
      </c>
      <c r="H53" s="8" t="s">
        <v>32</v>
      </c>
      <c r="I53" s="8" t="s">
        <v>34</v>
      </c>
      <c r="J53" s="8" t="s">
        <v>34</v>
      </c>
      <c r="K53" s="8" t="s">
        <v>43</v>
      </c>
      <c r="L53" s="8" t="s">
        <v>43</v>
      </c>
      <c r="M53" s="8" t="s">
        <v>43</v>
      </c>
      <c r="N53" s="8" t="s">
        <v>34</v>
      </c>
      <c r="O53" s="8" t="s">
        <v>34</v>
      </c>
      <c r="P53" s="8" t="s">
        <v>32</v>
      </c>
      <c r="Q53" s="8" t="s">
        <v>34</v>
      </c>
      <c r="R53" s="8" t="s">
        <v>32</v>
      </c>
      <c r="S53" s="8" t="s">
        <v>34</v>
      </c>
      <c r="T53" s="8" t="s">
        <v>32</v>
      </c>
      <c r="U53" s="8" t="s">
        <v>34</v>
      </c>
      <c r="V53" s="8" t="s">
        <v>43</v>
      </c>
      <c r="W53" s="8" t="s">
        <v>43</v>
      </c>
      <c r="X53" s="8" t="s">
        <v>43</v>
      </c>
      <c r="Y53" s="8" t="s">
        <v>43</v>
      </c>
      <c r="Z53" s="9" t="s">
        <v>34</v>
      </c>
    </row>
    <row r="54" spans="1:26" ht="40.200000000000003" thickBot="1" x14ac:dyDescent="0.35">
      <c r="A54" s="10" t="s">
        <v>80</v>
      </c>
      <c r="B54" s="5" t="s">
        <v>26</v>
      </c>
      <c r="C54" s="5" t="s">
        <v>27</v>
      </c>
      <c r="D54" s="5" t="s">
        <v>28</v>
      </c>
      <c r="E54" s="5" t="s">
        <v>40</v>
      </c>
      <c r="F54" s="5" t="s">
        <v>30</v>
      </c>
      <c r="G54" s="5" t="s">
        <v>33</v>
      </c>
      <c r="H54" s="5" t="s">
        <v>33</v>
      </c>
      <c r="I54" s="5" t="s">
        <v>33</v>
      </c>
      <c r="J54" s="5" t="s">
        <v>33</v>
      </c>
      <c r="K54" s="5" t="s">
        <v>33</v>
      </c>
      <c r="L54" s="5" t="s">
        <v>33</v>
      </c>
      <c r="M54" s="5" t="s">
        <v>33</v>
      </c>
      <c r="N54" s="5" t="s">
        <v>33</v>
      </c>
      <c r="O54" s="5" t="s">
        <v>33</v>
      </c>
      <c r="P54" s="5" t="s">
        <v>33</v>
      </c>
      <c r="Q54" s="5" t="s">
        <v>33</v>
      </c>
      <c r="R54" s="5" t="s">
        <v>33</v>
      </c>
      <c r="S54" s="5" t="s">
        <v>33</v>
      </c>
      <c r="T54" s="5" t="s">
        <v>33</v>
      </c>
      <c r="U54" s="5" t="s">
        <v>33</v>
      </c>
      <c r="V54" s="5" t="s">
        <v>33</v>
      </c>
      <c r="W54" s="5" t="s">
        <v>33</v>
      </c>
      <c r="X54" s="5" t="s">
        <v>33</v>
      </c>
      <c r="Y54" s="5" t="s">
        <v>33</v>
      </c>
      <c r="Z54" s="6" t="s">
        <v>33</v>
      </c>
    </row>
    <row r="55" spans="1:26" ht="40.200000000000003" thickBot="1" x14ac:dyDescent="0.35">
      <c r="A55" s="11" t="s">
        <v>81</v>
      </c>
      <c r="B55" s="8" t="s">
        <v>26</v>
      </c>
      <c r="C55" s="8" t="s">
        <v>27</v>
      </c>
      <c r="D55" s="8" t="s">
        <v>36</v>
      </c>
      <c r="E55" s="8" t="s">
        <v>42</v>
      </c>
      <c r="F55" s="8" t="s">
        <v>46</v>
      </c>
      <c r="G55" s="8" t="s">
        <v>31</v>
      </c>
      <c r="H55" s="8" t="s">
        <v>31</v>
      </c>
      <c r="I55" s="8" t="s">
        <v>31</v>
      </c>
      <c r="J55" s="8" t="s">
        <v>32</v>
      </c>
      <c r="K55" s="8" t="s">
        <v>31</v>
      </c>
      <c r="L55" s="8" t="s">
        <v>31</v>
      </c>
      <c r="M55" s="8" t="s">
        <v>31</v>
      </c>
      <c r="N55" s="8" t="s">
        <v>31</v>
      </c>
      <c r="O55" s="8" t="s">
        <v>31</v>
      </c>
      <c r="P55" s="8" t="s">
        <v>31</v>
      </c>
      <c r="Q55" s="8" t="s">
        <v>31</v>
      </c>
      <c r="R55" s="8" t="s">
        <v>31</v>
      </c>
      <c r="S55" s="8" t="s">
        <v>31</v>
      </c>
      <c r="T55" s="8" t="s">
        <v>31</v>
      </c>
      <c r="U55" s="8" t="s">
        <v>31</v>
      </c>
      <c r="V55" s="8" t="s">
        <v>31</v>
      </c>
      <c r="W55" s="8" t="s">
        <v>31</v>
      </c>
      <c r="X55" s="8" t="s">
        <v>31</v>
      </c>
      <c r="Y55" s="8" t="s">
        <v>31</v>
      </c>
      <c r="Z55" s="9" t="s">
        <v>31</v>
      </c>
    </row>
    <row r="56" spans="1:26" ht="40.200000000000003" thickBot="1" x14ac:dyDescent="0.35">
      <c r="A56" s="10" t="s">
        <v>82</v>
      </c>
      <c r="B56" s="5" t="s">
        <v>26</v>
      </c>
      <c r="C56" s="5" t="s">
        <v>27</v>
      </c>
      <c r="D56" s="5" t="s">
        <v>36</v>
      </c>
      <c r="E56" s="5" t="s">
        <v>38</v>
      </c>
      <c r="F56" s="5" t="s">
        <v>45</v>
      </c>
      <c r="G56" s="5" t="s">
        <v>32</v>
      </c>
      <c r="H56" s="5" t="s">
        <v>31</v>
      </c>
      <c r="I56" s="5" t="s">
        <v>32</v>
      </c>
      <c r="J56" s="5" t="s">
        <v>31</v>
      </c>
      <c r="K56" s="5" t="s">
        <v>32</v>
      </c>
      <c r="L56" s="5" t="s">
        <v>31</v>
      </c>
      <c r="M56" s="5" t="s">
        <v>32</v>
      </c>
      <c r="N56" s="5" t="s">
        <v>31</v>
      </c>
      <c r="O56" s="5" t="s">
        <v>32</v>
      </c>
      <c r="P56" s="5" t="s">
        <v>31</v>
      </c>
      <c r="Q56" s="5" t="s">
        <v>32</v>
      </c>
      <c r="R56" s="5" t="s">
        <v>31</v>
      </c>
      <c r="S56" s="5" t="s">
        <v>32</v>
      </c>
      <c r="T56" s="5" t="s">
        <v>31</v>
      </c>
      <c r="U56" s="5" t="s">
        <v>32</v>
      </c>
      <c r="V56" s="5" t="s">
        <v>31</v>
      </c>
      <c r="W56" s="5" t="s">
        <v>32</v>
      </c>
      <c r="X56" s="5" t="s">
        <v>31</v>
      </c>
      <c r="Y56" s="5" t="s">
        <v>32</v>
      </c>
      <c r="Z56" s="6" t="s">
        <v>31</v>
      </c>
    </row>
    <row r="57" spans="1:26" ht="27" thickBot="1" x14ac:dyDescent="0.35">
      <c r="A57" s="11" t="s">
        <v>83</v>
      </c>
      <c r="B57" s="8" t="s">
        <v>63</v>
      </c>
      <c r="C57" s="8" t="s">
        <v>35</v>
      </c>
      <c r="D57" s="8" t="s">
        <v>44</v>
      </c>
      <c r="E57" s="8" t="s">
        <v>42</v>
      </c>
      <c r="F57" s="8" t="s">
        <v>41</v>
      </c>
      <c r="G57" s="8" t="s">
        <v>32</v>
      </c>
      <c r="H57" s="8" t="s">
        <v>32</v>
      </c>
      <c r="I57" s="8" t="s">
        <v>32</v>
      </c>
      <c r="J57" s="8" t="s">
        <v>32</v>
      </c>
      <c r="K57" s="8" t="s">
        <v>32</v>
      </c>
      <c r="L57" s="8" t="s">
        <v>32</v>
      </c>
      <c r="M57" s="8" t="s">
        <v>32</v>
      </c>
      <c r="N57" s="8" t="s">
        <v>32</v>
      </c>
      <c r="O57" s="8" t="s">
        <v>32</v>
      </c>
      <c r="P57" s="8" t="s">
        <v>32</v>
      </c>
      <c r="Q57" s="8" t="s">
        <v>32</v>
      </c>
      <c r="R57" s="8" t="s">
        <v>32</v>
      </c>
      <c r="S57" s="8" t="s">
        <v>32</v>
      </c>
      <c r="T57" s="8" t="s">
        <v>32</v>
      </c>
      <c r="U57" s="8" t="s">
        <v>32</v>
      </c>
      <c r="V57" s="8" t="s">
        <v>32</v>
      </c>
      <c r="W57" s="8" t="s">
        <v>32</v>
      </c>
      <c r="X57" s="8" t="s">
        <v>32</v>
      </c>
      <c r="Y57" s="8" t="s">
        <v>32</v>
      </c>
      <c r="Z57" s="9" t="s">
        <v>32</v>
      </c>
    </row>
    <row r="58" spans="1:26" ht="27" thickBot="1" x14ac:dyDescent="0.35">
      <c r="A58" s="10" t="s">
        <v>84</v>
      </c>
      <c r="B58" s="5" t="s">
        <v>66</v>
      </c>
      <c r="C58" s="5" t="s">
        <v>35</v>
      </c>
      <c r="D58" s="5" t="s">
        <v>36</v>
      </c>
      <c r="E58" s="5" t="s">
        <v>42</v>
      </c>
      <c r="F58" s="5" t="s">
        <v>41</v>
      </c>
      <c r="G58" s="5" t="s">
        <v>33</v>
      </c>
      <c r="H58" s="5" t="s">
        <v>43</v>
      </c>
      <c r="I58" s="5" t="s">
        <v>33</v>
      </c>
      <c r="J58" s="5" t="s">
        <v>33</v>
      </c>
      <c r="K58" s="5" t="s">
        <v>33</v>
      </c>
      <c r="L58" s="5" t="s">
        <v>33</v>
      </c>
      <c r="M58" s="5" t="s">
        <v>33</v>
      </c>
      <c r="N58" s="5" t="s">
        <v>33</v>
      </c>
      <c r="O58" s="5" t="s">
        <v>33</v>
      </c>
      <c r="P58" s="5" t="s">
        <v>33</v>
      </c>
      <c r="Q58" s="5" t="s">
        <v>33</v>
      </c>
      <c r="R58" s="5" t="s">
        <v>33</v>
      </c>
      <c r="S58" s="5" t="s">
        <v>33</v>
      </c>
      <c r="T58" s="5" t="s">
        <v>33</v>
      </c>
      <c r="U58" s="5" t="s">
        <v>33</v>
      </c>
      <c r="V58" s="5" t="s">
        <v>33</v>
      </c>
      <c r="W58" s="5" t="s">
        <v>33</v>
      </c>
      <c r="X58" s="5" t="s">
        <v>33</v>
      </c>
      <c r="Y58" s="5" t="s">
        <v>33</v>
      </c>
      <c r="Z58" s="6" t="s">
        <v>33</v>
      </c>
    </row>
    <row r="59" spans="1:26" ht="40.200000000000003" thickBot="1" x14ac:dyDescent="0.35">
      <c r="A59" s="11" t="s">
        <v>85</v>
      </c>
      <c r="B59" s="8" t="s">
        <v>26</v>
      </c>
      <c r="C59" s="8" t="s">
        <v>27</v>
      </c>
      <c r="D59" s="8" t="s">
        <v>44</v>
      </c>
      <c r="E59" s="8" t="s">
        <v>40</v>
      </c>
      <c r="F59" s="8" t="s">
        <v>41</v>
      </c>
      <c r="G59" s="8" t="s">
        <v>33</v>
      </c>
      <c r="H59" s="8" t="s">
        <v>33</v>
      </c>
      <c r="I59" s="8" t="s">
        <v>33</v>
      </c>
      <c r="J59" s="8" t="s">
        <v>33</v>
      </c>
      <c r="K59" s="8" t="s">
        <v>33</v>
      </c>
      <c r="L59" s="8" t="s">
        <v>33</v>
      </c>
      <c r="M59" s="8" t="s">
        <v>33</v>
      </c>
      <c r="N59" s="8" t="s">
        <v>33</v>
      </c>
      <c r="O59" s="8" t="s">
        <v>33</v>
      </c>
      <c r="P59" s="8" t="s">
        <v>33</v>
      </c>
      <c r="Q59" s="8" t="s">
        <v>33</v>
      </c>
      <c r="R59" s="8" t="s">
        <v>33</v>
      </c>
      <c r="S59" s="8" t="s">
        <v>33</v>
      </c>
      <c r="T59" s="8" t="s">
        <v>33</v>
      </c>
      <c r="U59" s="8" t="s">
        <v>33</v>
      </c>
      <c r="V59" s="8" t="s">
        <v>33</v>
      </c>
      <c r="W59" s="8" t="s">
        <v>33</v>
      </c>
      <c r="X59" s="8" t="s">
        <v>33</v>
      </c>
      <c r="Y59" s="8" t="s">
        <v>33</v>
      </c>
      <c r="Z59" s="9" t="s">
        <v>33</v>
      </c>
    </row>
    <row r="60" spans="1:26" ht="40.200000000000003" thickBot="1" x14ac:dyDescent="0.35">
      <c r="A60" s="10" t="s">
        <v>86</v>
      </c>
      <c r="B60" s="5" t="s">
        <v>63</v>
      </c>
      <c r="C60" s="5" t="s">
        <v>27</v>
      </c>
      <c r="D60" s="5" t="s">
        <v>44</v>
      </c>
      <c r="E60" s="5" t="s">
        <v>40</v>
      </c>
      <c r="F60" s="5" t="s">
        <v>41</v>
      </c>
      <c r="G60" s="5" t="s">
        <v>32</v>
      </c>
      <c r="H60" s="5" t="s">
        <v>31</v>
      </c>
      <c r="I60" s="5" t="s">
        <v>31</v>
      </c>
      <c r="J60" s="5" t="s">
        <v>34</v>
      </c>
      <c r="K60" s="5" t="s">
        <v>31</v>
      </c>
      <c r="L60" s="5" t="s">
        <v>34</v>
      </c>
      <c r="M60" s="5" t="s">
        <v>43</v>
      </c>
      <c r="N60" s="5" t="s">
        <v>34</v>
      </c>
      <c r="O60" s="5" t="s">
        <v>32</v>
      </c>
      <c r="P60" s="5" t="s">
        <v>31</v>
      </c>
      <c r="Q60" s="5" t="s">
        <v>31</v>
      </c>
      <c r="R60" s="5" t="s">
        <v>31</v>
      </c>
      <c r="S60" s="5" t="s">
        <v>31</v>
      </c>
      <c r="T60" s="5" t="s">
        <v>31</v>
      </c>
      <c r="U60" s="5" t="s">
        <v>31</v>
      </c>
      <c r="V60" s="5" t="s">
        <v>31</v>
      </c>
      <c r="W60" s="5" t="s">
        <v>31</v>
      </c>
      <c r="X60" s="5" t="s">
        <v>31</v>
      </c>
      <c r="Y60" s="5" t="s">
        <v>31</v>
      </c>
      <c r="Z60" s="6" t="s">
        <v>31</v>
      </c>
    </row>
    <row r="61" spans="1:26" ht="40.200000000000003" thickBot="1" x14ac:dyDescent="0.35">
      <c r="A61" s="11" t="s">
        <v>87</v>
      </c>
      <c r="B61" s="8" t="s">
        <v>26</v>
      </c>
      <c r="C61" s="8" t="s">
        <v>35</v>
      </c>
      <c r="D61" s="8" t="s">
        <v>36</v>
      </c>
      <c r="E61" s="8" t="s">
        <v>40</v>
      </c>
      <c r="F61" s="8" t="s">
        <v>41</v>
      </c>
      <c r="G61" s="8" t="s">
        <v>31</v>
      </c>
      <c r="H61" s="8" t="s">
        <v>33</v>
      </c>
      <c r="I61" s="8" t="s">
        <v>31</v>
      </c>
      <c r="J61" s="8" t="s">
        <v>32</v>
      </c>
      <c r="K61" s="8" t="s">
        <v>32</v>
      </c>
      <c r="L61" s="8" t="s">
        <v>31</v>
      </c>
      <c r="M61" s="8" t="s">
        <v>33</v>
      </c>
      <c r="N61" s="8" t="s">
        <v>33</v>
      </c>
      <c r="O61" s="8" t="s">
        <v>31</v>
      </c>
      <c r="P61" s="8" t="s">
        <v>31</v>
      </c>
      <c r="Q61" s="8" t="s">
        <v>31</v>
      </c>
      <c r="R61" s="8" t="s">
        <v>31</v>
      </c>
      <c r="S61" s="8" t="s">
        <v>31</v>
      </c>
      <c r="T61" s="8" t="s">
        <v>31</v>
      </c>
      <c r="U61" s="8" t="s">
        <v>31</v>
      </c>
      <c r="V61" s="8" t="s">
        <v>32</v>
      </c>
      <c r="W61" s="8" t="s">
        <v>31</v>
      </c>
      <c r="X61" s="8" t="s">
        <v>32</v>
      </c>
      <c r="Y61" s="8" t="s">
        <v>31</v>
      </c>
      <c r="Z61" s="9" t="s">
        <v>31</v>
      </c>
    </row>
    <row r="62" spans="1:26" ht="27" thickBot="1" x14ac:dyDescent="0.35">
      <c r="A62" s="10" t="s">
        <v>88</v>
      </c>
      <c r="B62" s="5" t="s">
        <v>26</v>
      </c>
      <c r="C62" s="5" t="s">
        <v>35</v>
      </c>
      <c r="D62" s="5" t="s">
        <v>36</v>
      </c>
      <c r="E62" s="5" t="s">
        <v>42</v>
      </c>
      <c r="F62" s="5" t="s">
        <v>39</v>
      </c>
      <c r="G62" s="5" t="s">
        <v>32</v>
      </c>
      <c r="H62" s="5" t="s">
        <v>34</v>
      </c>
      <c r="I62" s="5" t="s">
        <v>31</v>
      </c>
      <c r="J62" s="5" t="s">
        <v>33</v>
      </c>
      <c r="K62" s="5" t="s">
        <v>32</v>
      </c>
      <c r="L62" s="5" t="s">
        <v>31</v>
      </c>
      <c r="M62" s="5" t="s">
        <v>34</v>
      </c>
      <c r="N62" s="5" t="s">
        <v>33</v>
      </c>
      <c r="O62" s="5" t="s">
        <v>31</v>
      </c>
      <c r="P62" s="5" t="s">
        <v>31</v>
      </c>
      <c r="Q62" s="5" t="s">
        <v>31</v>
      </c>
      <c r="R62" s="5" t="s">
        <v>32</v>
      </c>
      <c r="S62" s="5" t="s">
        <v>32</v>
      </c>
      <c r="T62" s="5" t="s">
        <v>31</v>
      </c>
      <c r="U62" s="5" t="s">
        <v>31</v>
      </c>
      <c r="V62" s="5" t="s">
        <v>33</v>
      </c>
      <c r="W62" s="5" t="s">
        <v>31</v>
      </c>
      <c r="X62" s="5" t="s">
        <v>32</v>
      </c>
      <c r="Y62" s="5" t="s">
        <v>32</v>
      </c>
      <c r="Z62" s="6" t="s">
        <v>43</v>
      </c>
    </row>
    <row r="63" spans="1:26" ht="27" thickBot="1" x14ac:dyDescent="0.35">
      <c r="A63" s="11" t="s">
        <v>89</v>
      </c>
      <c r="B63" s="8" t="s">
        <v>26</v>
      </c>
      <c r="C63" s="8" t="s">
        <v>35</v>
      </c>
      <c r="D63" s="8" t="s">
        <v>28</v>
      </c>
      <c r="E63" s="8" t="s">
        <v>29</v>
      </c>
      <c r="F63" s="8" t="s">
        <v>30</v>
      </c>
      <c r="G63" s="8" t="s">
        <v>31</v>
      </c>
      <c r="H63" s="8" t="s">
        <v>31</v>
      </c>
      <c r="I63" s="8" t="s">
        <v>31</v>
      </c>
      <c r="J63" s="8" t="s">
        <v>31</v>
      </c>
      <c r="K63" s="8" t="s">
        <v>31</v>
      </c>
      <c r="L63" s="8" t="s">
        <v>31</v>
      </c>
      <c r="M63" s="8" t="s">
        <v>31</v>
      </c>
      <c r="N63" s="8" t="s">
        <v>31</v>
      </c>
      <c r="O63" s="8" t="s">
        <v>31</v>
      </c>
      <c r="P63" s="8" t="s">
        <v>31</v>
      </c>
      <c r="Q63" s="8" t="s">
        <v>31</v>
      </c>
      <c r="R63" s="8" t="s">
        <v>32</v>
      </c>
      <c r="S63" s="8" t="s">
        <v>31</v>
      </c>
      <c r="T63" s="8" t="s">
        <v>31</v>
      </c>
      <c r="U63" s="8" t="s">
        <v>31</v>
      </c>
      <c r="V63" s="8" t="s">
        <v>31</v>
      </c>
      <c r="W63" s="8" t="s">
        <v>31</v>
      </c>
      <c r="X63" s="8" t="s">
        <v>31</v>
      </c>
      <c r="Y63" s="8" t="s">
        <v>31</v>
      </c>
      <c r="Z63" s="9" t="s">
        <v>31</v>
      </c>
    </row>
    <row r="64" spans="1:26" ht="27" thickBot="1" x14ac:dyDescent="0.35">
      <c r="A64" s="10" t="s">
        <v>90</v>
      </c>
      <c r="B64" s="5" t="s">
        <v>37</v>
      </c>
      <c r="C64" s="5" t="s">
        <v>35</v>
      </c>
      <c r="D64" s="5" t="s">
        <v>28</v>
      </c>
      <c r="E64" s="5" t="s">
        <v>42</v>
      </c>
      <c r="F64" s="5" t="s">
        <v>30</v>
      </c>
      <c r="G64" s="5" t="s">
        <v>32</v>
      </c>
      <c r="H64" s="5" t="s">
        <v>32</v>
      </c>
      <c r="I64" s="5" t="s">
        <v>32</v>
      </c>
      <c r="J64" s="5" t="s">
        <v>32</v>
      </c>
      <c r="K64" s="5" t="s">
        <v>32</v>
      </c>
      <c r="L64" s="5" t="s">
        <v>32</v>
      </c>
      <c r="M64" s="5" t="s">
        <v>32</v>
      </c>
      <c r="N64" s="5" t="s">
        <v>32</v>
      </c>
      <c r="O64" s="5" t="s">
        <v>32</v>
      </c>
      <c r="P64" s="5" t="s">
        <v>32</v>
      </c>
      <c r="Q64" s="5" t="s">
        <v>32</v>
      </c>
      <c r="R64" s="5" t="s">
        <v>32</v>
      </c>
      <c r="S64" s="5" t="s">
        <v>32</v>
      </c>
      <c r="T64" s="5" t="s">
        <v>32</v>
      </c>
      <c r="U64" s="5" t="s">
        <v>32</v>
      </c>
      <c r="V64" s="5" t="s">
        <v>32</v>
      </c>
      <c r="W64" s="5" t="s">
        <v>32</v>
      </c>
      <c r="X64" s="5" t="s">
        <v>32</v>
      </c>
      <c r="Y64" s="5" t="s">
        <v>32</v>
      </c>
      <c r="Z64" s="6" t="s">
        <v>32</v>
      </c>
    </row>
    <row r="65" spans="1:26" ht="40.200000000000003" thickBot="1" x14ac:dyDescent="0.35">
      <c r="A65" s="11" t="s">
        <v>91</v>
      </c>
      <c r="B65" s="8" t="s">
        <v>26</v>
      </c>
      <c r="C65" s="8" t="s">
        <v>27</v>
      </c>
      <c r="D65" s="8" t="s">
        <v>44</v>
      </c>
      <c r="E65" s="8" t="s">
        <v>40</v>
      </c>
      <c r="F65" s="8" t="s">
        <v>41</v>
      </c>
      <c r="G65" s="8" t="s">
        <v>33</v>
      </c>
      <c r="H65" s="8" t="s">
        <v>33</v>
      </c>
      <c r="I65" s="8" t="s">
        <v>34</v>
      </c>
      <c r="J65" s="8" t="s">
        <v>33</v>
      </c>
      <c r="K65" s="8" t="s">
        <v>34</v>
      </c>
      <c r="L65" s="8" t="s">
        <v>33</v>
      </c>
      <c r="M65" s="8" t="s">
        <v>34</v>
      </c>
      <c r="N65" s="8" t="s">
        <v>43</v>
      </c>
      <c r="O65" s="8" t="s">
        <v>43</v>
      </c>
      <c r="P65" s="8" t="s">
        <v>34</v>
      </c>
      <c r="Q65" s="8" t="s">
        <v>34</v>
      </c>
      <c r="R65" s="8" t="s">
        <v>31</v>
      </c>
      <c r="S65" s="8" t="s">
        <v>31</v>
      </c>
      <c r="T65" s="8" t="s">
        <v>31</v>
      </c>
      <c r="U65" s="8" t="s">
        <v>31</v>
      </c>
      <c r="V65" s="8" t="s">
        <v>43</v>
      </c>
      <c r="W65" s="8" t="s">
        <v>43</v>
      </c>
      <c r="X65" s="8" t="s">
        <v>43</v>
      </c>
      <c r="Y65" s="8" t="s">
        <v>43</v>
      </c>
      <c r="Z65" s="9" t="s">
        <v>43</v>
      </c>
    </row>
    <row r="66" spans="1:26" ht="27" thickBot="1" x14ac:dyDescent="0.35">
      <c r="A66" s="10" t="s">
        <v>92</v>
      </c>
      <c r="B66" s="5" t="s">
        <v>26</v>
      </c>
      <c r="C66" s="5" t="s">
        <v>35</v>
      </c>
      <c r="D66" s="5" t="s">
        <v>36</v>
      </c>
      <c r="E66" s="5" t="s">
        <v>38</v>
      </c>
      <c r="F66" s="5" t="s">
        <v>30</v>
      </c>
      <c r="G66" s="5" t="s">
        <v>34</v>
      </c>
      <c r="H66" s="5" t="s">
        <v>32</v>
      </c>
      <c r="I66" s="5" t="s">
        <v>31</v>
      </c>
      <c r="J66" s="5" t="s">
        <v>31</v>
      </c>
      <c r="K66" s="5" t="s">
        <v>34</v>
      </c>
      <c r="L66" s="5" t="s">
        <v>31</v>
      </c>
      <c r="M66" s="5" t="s">
        <v>31</v>
      </c>
      <c r="N66" s="5" t="s">
        <v>34</v>
      </c>
      <c r="O66" s="5" t="s">
        <v>31</v>
      </c>
      <c r="P66" s="5" t="s">
        <v>43</v>
      </c>
      <c r="Q66" s="5" t="s">
        <v>33</v>
      </c>
      <c r="R66" s="5" t="s">
        <v>31</v>
      </c>
      <c r="S66" s="5" t="s">
        <v>31</v>
      </c>
      <c r="T66" s="5" t="s">
        <v>33</v>
      </c>
      <c r="U66" s="5" t="s">
        <v>33</v>
      </c>
      <c r="V66" s="5" t="s">
        <v>32</v>
      </c>
      <c r="W66" s="5" t="s">
        <v>31</v>
      </c>
      <c r="X66" s="5" t="s">
        <v>31</v>
      </c>
      <c r="Y66" s="5" t="s">
        <v>31</v>
      </c>
      <c r="Z66" s="6" t="s">
        <v>43</v>
      </c>
    </row>
    <row r="67" spans="1:26" ht="27" thickBot="1" x14ac:dyDescent="0.35">
      <c r="A67" s="11" t="s">
        <v>93</v>
      </c>
      <c r="B67" s="8" t="s">
        <v>26</v>
      </c>
      <c r="C67" s="8" t="s">
        <v>27</v>
      </c>
      <c r="D67" s="8" t="s">
        <v>36</v>
      </c>
      <c r="E67" s="8" t="s">
        <v>38</v>
      </c>
      <c r="F67" s="8" t="s">
        <v>30</v>
      </c>
      <c r="G67" s="8" t="s">
        <v>31</v>
      </c>
      <c r="H67" s="8" t="s">
        <v>31</v>
      </c>
      <c r="I67" s="8" t="s">
        <v>31</v>
      </c>
      <c r="J67" s="8" t="s">
        <v>31</v>
      </c>
      <c r="K67" s="8" t="s">
        <v>31</v>
      </c>
      <c r="L67" s="8" t="s">
        <v>31</v>
      </c>
      <c r="M67" s="8" t="s">
        <v>31</v>
      </c>
      <c r="N67" s="8" t="s">
        <v>31</v>
      </c>
      <c r="O67" s="8" t="s">
        <v>31</v>
      </c>
      <c r="P67" s="8" t="s">
        <v>31</v>
      </c>
      <c r="Q67" s="8" t="s">
        <v>31</v>
      </c>
      <c r="R67" s="8" t="s">
        <v>31</v>
      </c>
      <c r="S67" s="8" t="s">
        <v>31</v>
      </c>
      <c r="T67" s="8" t="s">
        <v>31</v>
      </c>
      <c r="U67" s="8" t="s">
        <v>31</v>
      </c>
      <c r="V67" s="8" t="s">
        <v>31</v>
      </c>
      <c r="W67" s="8" t="s">
        <v>31</v>
      </c>
      <c r="X67" s="8" t="s">
        <v>31</v>
      </c>
      <c r="Y67" s="8" t="s">
        <v>31</v>
      </c>
      <c r="Z67" s="9" t="s">
        <v>32</v>
      </c>
    </row>
    <row r="68" spans="1:26" ht="27" thickBot="1" x14ac:dyDescent="0.35">
      <c r="A68" s="10" t="s">
        <v>94</v>
      </c>
      <c r="B68" s="5" t="s">
        <v>26</v>
      </c>
      <c r="C68" s="5" t="s">
        <v>35</v>
      </c>
      <c r="D68" s="5" t="s">
        <v>36</v>
      </c>
      <c r="E68" s="5" t="s">
        <v>38</v>
      </c>
      <c r="F68" s="5" t="s">
        <v>30</v>
      </c>
      <c r="G68" s="5" t="s">
        <v>31</v>
      </c>
      <c r="H68" s="5" t="s">
        <v>33</v>
      </c>
      <c r="I68" s="5" t="s">
        <v>31</v>
      </c>
      <c r="J68" s="5" t="s">
        <v>32</v>
      </c>
      <c r="K68" s="5" t="s">
        <v>31</v>
      </c>
      <c r="L68" s="5" t="s">
        <v>33</v>
      </c>
      <c r="M68" s="5" t="s">
        <v>33</v>
      </c>
      <c r="N68" s="5" t="s">
        <v>33</v>
      </c>
      <c r="O68" s="5" t="s">
        <v>31</v>
      </c>
      <c r="P68" s="5" t="s">
        <v>33</v>
      </c>
      <c r="Q68" s="5" t="s">
        <v>32</v>
      </c>
      <c r="R68" s="5" t="s">
        <v>31</v>
      </c>
      <c r="S68" s="5" t="s">
        <v>33</v>
      </c>
      <c r="T68" s="5" t="s">
        <v>33</v>
      </c>
      <c r="U68" s="5" t="s">
        <v>31</v>
      </c>
      <c r="V68" s="5" t="s">
        <v>31</v>
      </c>
      <c r="W68" s="5" t="s">
        <v>33</v>
      </c>
      <c r="X68" s="5" t="s">
        <v>31</v>
      </c>
      <c r="Y68" s="5" t="s">
        <v>32</v>
      </c>
      <c r="Z68" s="6" t="s">
        <v>33</v>
      </c>
    </row>
    <row r="69" spans="1:26" ht="27" thickBot="1" x14ac:dyDescent="0.35">
      <c r="A69" s="11" t="s">
        <v>95</v>
      </c>
      <c r="B69" s="8" t="s">
        <v>26</v>
      </c>
      <c r="C69" s="8" t="s">
        <v>35</v>
      </c>
      <c r="D69" s="8" t="s">
        <v>36</v>
      </c>
      <c r="E69" s="8" t="s">
        <v>42</v>
      </c>
      <c r="F69" s="8" t="s">
        <v>30</v>
      </c>
      <c r="G69" s="8" t="s">
        <v>32</v>
      </c>
      <c r="H69" s="8" t="s">
        <v>32</v>
      </c>
      <c r="I69" s="8" t="s">
        <v>31</v>
      </c>
      <c r="J69" s="8" t="s">
        <v>31</v>
      </c>
      <c r="K69" s="8" t="s">
        <v>31</v>
      </c>
      <c r="L69" s="8" t="s">
        <v>31</v>
      </c>
      <c r="M69" s="8" t="s">
        <v>31</v>
      </c>
      <c r="N69" s="8" t="s">
        <v>32</v>
      </c>
      <c r="O69" s="8" t="s">
        <v>32</v>
      </c>
      <c r="P69" s="8" t="s">
        <v>31</v>
      </c>
      <c r="Q69" s="8" t="s">
        <v>31</v>
      </c>
      <c r="R69" s="8" t="s">
        <v>31</v>
      </c>
      <c r="S69" s="8" t="s">
        <v>31</v>
      </c>
      <c r="T69" s="8" t="s">
        <v>31</v>
      </c>
      <c r="U69" s="8" t="s">
        <v>31</v>
      </c>
      <c r="V69" s="8" t="s">
        <v>31</v>
      </c>
      <c r="W69" s="8" t="s">
        <v>32</v>
      </c>
      <c r="X69" s="8" t="s">
        <v>31</v>
      </c>
      <c r="Y69" s="8" t="s">
        <v>31</v>
      </c>
      <c r="Z69" s="9" t="s">
        <v>33</v>
      </c>
    </row>
    <row r="70" spans="1:26" ht="27" thickBot="1" x14ac:dyDescent="0.35">
      <c r="A70" s="10" t="s">
        <v>96</v>
      </c>
      <c r="B70" s="5" t="s">
        <v>26</v>
      </c>
      <c r="C70" s="5" t="s">
        <v>35</v>
      </c>
      <c r="D70" s="5" t="s">
        <v>36</v>
      </c>
      <c r="E70" s="5" t="s">
        <v>38</v>
      </c>
      <c r="F70" s="5" t="s">
        <v>41</v>
      </c>
      <c r="G70" s="5" t="s">
        <v>31</v>
      </c>
      <c r="H70" s="5" t="s">
        <v>33</v>
      </c>
      <c r="I70" s="5" t="s">
        <v>33</v>
      </c>
      <c r="J70" s="5" t="s">
        <v>31</v>
      </c>
      <c r="K70" s="5" t="s">
        <v>31</v>
      </c>
      <c r="L70" s="5" t="s">
        <v>33</v>
      </c>
      <c r="M70" s="5" t="s">
        <v>31</v>
      </c>
      <c r="N70" s="5" t="s">
        <v>33</v>
      </c>
      <c r="O70" s="5" t="s">
        <v>33</v>
      </c>
      <c r="P70" s="5" t="s">
        <v>31</v>
      </c>
      <c r="Q70" s="5" t="s">
        <v>31</v>
      </c>
      <c r="R70" s="5" t="s">
        <v>33</v>
      </c>
      <c r="S70" s="5" t="s">
        <v>33</v>
      </c>
      <c r="T70" s="5" t="s">
        <v>33</v>
      </c>
      <c r="U70" s="5" t="s">
        <v>31</v>
      </c>
      <c r="V70" s="5" t="s">
        <v>31</v>
      </c>
      <c r="W70" s="5" t="s">
        <v>31</v>
      </c>
      <c r="X70" s="5" t="s">
        <v>31</v>
      </c>
      <c r="Y70" s="5" t="s">
        <v>31</v>
      </c>
      <c r="Z70" s="6" t="s">
        <v>33</v>
      </c>
    </row>
    <row r="71" spans="1:26" ht="27" thickBot="1" x14ac:dyDescent="0.35">
      <c r="A71" s="11" t="s">
        <v>97</v>
      </c>
      <c r="B71" s="8" t="s">
        <v>26</v>
      </c>
      <c r="C71" s="8" t="s">
        <v>27</v>
      </c>
      <c r="D71" s="8" t="s">
        <v>36</v>
      </c>
      <c r="E71" s="8" t="s">
        <v>29</v>
      </c>
      <c r="F71" s="8" t="s">
        <v>30</v>
      </c>
      <c r="G71" s="8" t="s">
        <v>33</v>
      </c>
      <c r="H71" s="8" t="s">
        <v>31</v>
      </c>
      <c r="I71" s="8" t="s">
        <v>31</v>
      </c>
      <c r="J71" s="8" t="s">
        <v>33</v>
      </c>
      <c r="K71" s="8" t="s">
        <v>31</v>
      </c>
      <c r="L71" s="8" t="s">
        <v>33</v>
      </c>
      <c r="M71" s="8" t="s">
        <v>31</v>
      </c>
      <c r="N71" s="8" t="s">
        <v>33</v>
      </c>
      <c r="O71" s="8" t="s">
        <v>31</v>
      </c>
      <c r="P71" s="8" t="s">
        <v>31</v>
      </c>
      <c r="Q71" s="8" t="s">
        <v>33</v>
      </c>
      <c r="R71" s="8" t="s">
        <v>31</v>
      </c>
      <c r="S71" s="8" t="s">
        <v>33</v>
      </c>
      <c r="T71" s="8" t="s">
        <v>33</v>
      </c>
      <c r="U71" s="8" t="s">
        <v>33</v>
      </c>
      <c r="V71" s="8" t="s">
        <v>31</v>
      </c>
      <c r="W71" s="8" t="s">
        <v>31</v>
      </c>
      <c r="X71" s="8" t="s">
        <v>33</v>
      </c>
      <c r="Y71" s="8" t="s">
        <v>31</v>
      </c>
      <c r="Z71" s="9" t="s">
        <v>31</v>
      </c>
    </row>
    <row r="72" spans="1:26" ht="40.200000000000003" thickBot="1" x14ac:dyDescent="0.35">
      <c r="A72" s="10" t="s">
        <v>98</v>
      </c>
      <c r="B72" s="5" t="s">
        <v>26</v>
      </c>
      <c r="C72" s="5" t="s">
        <v>35</v>
      </c>
      <c r="D72" s="5" t="s">
        <v>44</v>
      </c>
      <c r="E72" s="5" t="s">
        <v>38</v>
      </c>
      <c r="F72" s="5" t="s">
        <v>45</v>
      </c>
      <c r="G72" s="5" t="s">
        <v>32</v>
      </c>
      <c r="H72" s="5" t="s">
        <v>43</v>
      </c>
      <c r="I72" s="5" t="s">
        <v>43</v>
      </c>
      <c r="J72" s="5" t="s">
        <v>34</v>
      </c>
      <c r="K72" s="5" t="s">
        <v>34</v>
      </c>
      <c r="L72" s="5" t="s">
        <v>43</v>
      </c>
      <c r="M72" s="5" t="s">
        <v>34</v>
      </c>
      <c r="N72" s="5" t="s">
        <v>43</v>
      </c>
      <c r="O72" s="5" t="s">
        <v>33</v>
      </c>
      <c r="P72" s="5" t="s">
        <v>33</v>
      </c>
      <c r="Q72" s="5" t="s">
        <v>33</v>
      </c>
      <c r="R72" s="5" t="s">
        <v>43</v>
      </c>
      <c r="S72" s="5" t="s">
        <v>43</v>
      </c>
      <c r="T72" s="5" t="s">
        <v>32</v>
      </c>
      <c r="U72" s="5" t="s">
        <v>43</v>
      </c>
      <c r="V72" s="5" t="s">
        <v>32</v>
      </c>
      <c r="W72" s="5" t="s">
        <v>31</v>
      </c>
      <c r="X72" s="5" t="s">
        <v>32</v>
      </c>
      <c r="Y72" s="5" t="s">
        <v>32</v>
      </c>
      <c r="Z72" s="6" t="s">
        <v>32</v>
      </c>
    </row>
    <row r="73" spans="1:26" ht="27" thickBot="1" x14ac:dyDescent="0.35">
      <c r="A73" s="11" t="s">
        <v>99</v>
      </c>
      <c r="B73" s="8" t="s">
        <v>26</v>
      </c>
      <c r="C73" s="8" t="s">
        <v>35</v>
      </c>
      <c r="D73" s="8" t="s">
        <v>36</v>
      </c>
      <c r="E73" s="8" t="s">
        <v>42</v>
      </c>
      <c r="F73" s="8" t="s">
        <v>30</v>
      </c>
      <c r="G73" s="8" t="s">
        <v>32</v>
      </c>
      <c r="H73" s="8" t="s">
        <v>32</v>
      </c>
      <c r="I73" s="8" t="s">
        <v>32</v>
      </c>
      <c r="J73" s="8" t="s">
        <v>32</v>
      </c>
      <c r="K73" s="8" t="s">
        <v>32</v>
      </c>
      <c r="L73" s="8" t="s">
        <v>32</v>
      </c>
      <c r="M73" s="8" t="s">
        <v>32</v>
      </c>
      <c r="N73" s="8" t="s">
        <v>32</v>
      </c>
      <c r="O73" s="8" t="s">
        <v>32</v>
      </c>
      <c r="P73" s="8" t="s">
        <v>32</v>
      </c>
      <c r="Q73" s="8" t="s">
        <v>32</v>
      </c>
      <c r="R73" s="8" t="s">
        <v>32</v>
      </c>
      <c r="S73" s="8" t="s">
        <v>32</v>
      </c>
      <c r="T73" s="8" t="s">
        <v>32</v>
      </c>
      <c r="U73" s="8" t="s">
        <v>32</v>
      </c>
      <c r="V73" s="8" t="s">
        <v>32</v>
      </c>
      <c r="W73" s="8" t="s">
        <v>32</v>
      </c>
      <c r="X73" s="8" t="s">
        <v>32</v>
      </c>
      <c r="Y73" s="8" t="s">
        <v>32</v>
      </c>
      <c r="Z73" s="9" t="s">
        <v>32</v>
      </c>
    </row>
    <row r="74" spans="1:26" ht="27" thickBot="1" x14ac:dyDescent="0.35">
      <c r="A74" s="10" t="s">
        <v>100</v>
      </c>
      <c r="B74" s="5" t="s">
        <v>26</v>
      </c>
      <c r="C74" s="5" t="s">
        <v>27</v>
      </c>
      <c r="D74" s="5" t="s">
        <v>28</v>
      </c>
      <c r="E74" s="5" t="s">
        <v>42</v>
      </c>
      <c r="F74" s="5" t="s">
        <v>30</v>
      </c>
      <c r="G74" s="5" t="s">
        <v>32</v>
      </c>
      <c r="H74" s="5" t="s">
        <v>32</v>
      </c>
      <c r="I74" s="5" t="s">
        <v>32</v>
      </c>
      <c r="J74" s="5" t="s">
        <v>32</v>
      </c>
      <c r="K74" s="5" t="s">
        <v>31</v>
      </c>
      <c r="L74" s="5" t="s">
        <v>32</v>
      </c>
      <c r="M74" s="5" t="s">
        <v>31</v>
      </c>
      <c r="N74" s="5" t="s">
        <v>31</v>
      </c>
      <c r="O74" s="5" t="s">
        <v>32</v>
      </c>
      <c r="P74" s="5" t="s">
        <v>32</v>
      </c>
      <c r="Q74" s="5" t="s">
        <v>32</v>
      </c>
      <c r="R74" s="5" t="s">
        <v>32</v>
      </c>
      <c r="S74" s="5" t="s">
        <v>32</v>
      </c>
      <c r="T74" s="5" t="s">
        <v>32</v>
      </c>
      <c r="U74" s="5" t="s">
        <v>34</v>
      </c>
      <c r="V74" s="5" t="s">
        <v>34</v>
      </c>
      <c r="W74" s="5" t="s">
        <v>31</v>
      </c>
      <c r="X74" s="5" t="s">
        <v>34</v>
      </c>
      <c r="Y74" s="5" t="s">
        <v>34</v>
      </c>
      <c r="Z74" s="6" t="s">
        <v>32</v>
      </c>
    </row>
    <row r="75" spans="1:26" ht="27" thickBot="1" x14ac:dyDescent="0.35">
      <c r="A75" s="11" t="s">
        <v>101</v>
      </c>
      <c r="B75" s="8" t="s">
        <v>26</v>
      </c>
      <c r="C75" s="8" t="s">
        <v>35</v>
      </c>
      <c r="D75" s="8" t="s">
        <v>36</v>
      </c>
      <c r="E75" s="8" t="s">
        <v>29</v>
      </c>
      <c r="F75" s="8" t="s">
        <v>30</v>
      </c>
      <c r="G75" s="8" t="s">
        <v>31</v>
      </c>
      <c r="H75" s="8" t="s">
        <v>32</v>
      </c>
      <c r="I75" s="8" t="s">
        <v>32</v>
      </c>
      <c r="J75" s="8" t="s">
        <v>32</v>
      </c>
      <c r="K75" s="8" t="s">
        <v>43</v>
      </c>
      <c r="L75" s="8" t="s">
        <v>31</v>
      </c>
      <c r="M75" s="8" t="s">
        <v>34</v>
      </c>
      <c r="N75" s="8" t="s">
        <v>32</v>
      </c>
      <c r="O75" s="8" t="s">
        <v>32</v>
      </c>
      <c r="P75" s="8" t="s">
        <v>31</v>
      </c>
      <c r="Q75" s="8" t="s">
        <v>31</v>
      </c>
      <c r="R75" s="8" t="s">
        <v>31</v>
      </c>
      <c r="S75" s="8" t="s">
        <v>31</v>
      </c>
      <c r="T75" s="8" t="s">
        <v>31</v>
      </c>
      <c r="U75" s="8" t="s">
        <v>31</v>
      </c>
      <c r="V75" s="8" t="s">
        <v>31</v>
      </c>
      <c r="W75" s="8" t="s">
        <v>31</v>
      </c>
      <c r="X75" s="8" t="s">
        <v>32</v>
      </c>
      <c r="Y75" s="8" t="s">
        <v>31</v>
      </c>
      <c r="Z75" s="9" t="s">
        <v>31</v>
      </c>
    </row>
    <row r="76" spans="1:26" ht="27" thickBot="1" x14ac:dyDescent="0.35">
      <c r="A76" s="10" t="s">
        <v>102</v>
      </c>
      <c r="B76" s="5" t="s">
        <v>26</v>
      </c>
      <c r="C76" s="5" t="s">
        <v>27</v>
      </c>
      <c r="D76" s="5" t="s">
        <v>36</v>
      </c>
      <c r="E76" s="5" t="s">
        <v>38</v>
      </c>
      <c r="F76" s="5" t="s">
        <v>39</v>
      </c>
      <c r="G76" s="5" t="s">
        <v>32</v>
      </c>
      <c r="H76" s="5" t="s">
        <v>32</v>
      </c>
      <c r="I76" s="5" t="s">
        <v>31</v>
      </c>
      <c r="J76" s="5" t="s">
        <v>31</v>
      </c>
      <c r="K76" s="5" t="s">
        <v>43</v>
      </c>
      <c r="L76" s="5" t="s">
        <v>32</v>
      </c>
      <c r="M76" s="5" t="s">
        <v>31</v>
      </c>
      <c r="N76" s="5" t="s">
        <v>33</v>
      </c>
      <c r="O76" s="5" t="s">
        <v>31</v>
      </c>
      <c r="P76" s="5" t="s">
        <v>31</v>
      </c>
      <c r="Q76" s="5" t="s">
        <v>31</v>
      </c>
      <c r="R76" s="5" t="s">
        <v>32</v>
      </c>
      <c r="S76" s="5" t="s">
        <v>31</v>
      </c>
      <c r="T76" s="5" t="s">
        <v>33</v>
      </c>
      <c r="U76" s="5" t="s">
        <v>31</v>
      </c>
      <c r="V76" s="5" t="s">
        <v>32</v>
      </c>
      <c r="W76" s="5" t="s">
        <v>33</v>
      </c>
      <c r="X76" s="5" t="s">
        <v>31</v>
      </c>
      <c r="Y76" s="5" t="s">
        <v>33</v>
      </c>
      <c r="Z76" s="6" t="s">
        <v>32</v>
      </c>
    </row>
    <row r="77" spans="1:26" ht="27" thickBot="1" x14ac:dyDescent="0.35">
      <c r="A77" s="11" t="s">
        <v>103</v>
      </c>
      <c r="B77" s="8" t="s">
        <v>26</v>
      </c>
      <c r="C77" s="8" t="s">
        <v>27</v>
      </c>
      <c r="D77" s="8" t="s">
        <v>28</v>
      </c>
      <c r="E77" s="8" t="s">
        <v>38</v>
      </c>
      <c r="F77" s="8" t="s">
        <v>30</v>
      </c>
      <c r="G77" s="8" t="s">
        <v>31</v>
      </c>
      <c r="H77" s="8" t="s">
        <v>32</v>
      </c>
      <c r="I77" s="8" t="s">
        <v>31</v>
      </c>
      <c r="J77" s="8" t="s">
        <v>31</v>
      </c>
      <c r="K77" s="8" t="s">
        <v>31</v>
      </c>
      <c r="L77" s="8" t="s">
        <v>31</v>
      </c>
      <c r="M77" s="8" t="s">
        <v>31</v>
      </c>
      <c r="N77" s="8" t="s">
        <v>32</v>
      </c>
      <c r="O77" s="8" t="s">
        <v>31</v>
      </c>
      <c r="P77" s="8" t="s">
        <v>33</v>
      </c>
      <c r="Q77" s="8" t="s">
        <v>33</v>
      </c>
      <c r="R77" s="8" t="s">
        <v>31</v>
      </c>
      <c r="S77" s="8" t="s">
        <v>31</v>
      </c>
      <c r="T77" s="8" t="s">
        <v>31</v>
      </c>
      <c r="U77" s="8" t="s">
        <v>32</v>
      </c>
      <c r="V77" s="8" t="s">
        <v>31</v>
      </c>
      <c r="W77" s="8" t="s">
        <v>31</v>
      </c>
      <c r="X77" s="8" t="s">
        <v>33</v>
      </c>
      <c r="Y77" s="8" t="s">
        <v>31</v>
      </c>
      <c r="Z77" s="9" t="s">
        <v>31</v>
      </c>
    </row>
    <row r="78" spans="1:26" ht="27" thickBot="1" x14ac:dyDescent="0.35">
      <c r="A78" s="10" t="s">
        <v>104</v>
      </c>
      <c r="B78" s="5" t="s">
        <v>26</v>
      </c>
      <c r="C78" s="5" t="s">
        <v>27</v>
      </c>
      <c r="D78" s="5" t="s">
        <v>28</v>
      </c>
      <c r="E78" s="5" t="s">
        <v>38</v>
      </c>
      <c r="F78" s="5" t="s">
        <v>30</v>
      </c>
      <c r="G78" s="5" t="s">
        <v>32</v>
      </c>
      <c r="H78" s="5" t="s">
        <v>32</v>
      </c>
      <c r="I78" s="5" t="s">
        <v>31</v>
      </c>
      <c r="J78" s="5" t="s">
        <v>31</v>
      </c>
      <c r="K78" s="5" t="s">
        <v>32</v>
      </c>
      <c r="L78" s="5" t="s">
        <v>31</v>
      </c>
      <c r="M78" s="5" t="s">
        <v>31</v>
      </c>
      <c r="N78" s="5" t="s">
        <v>32</v>
      </c>
      <c r="O78" s="5" t="s">
        <v>31</v>
      </c>
      <c r="P78" s="5" t="s">
        <v>32</v>
      </c>
      <c r="Q78" s="5" t="s">
        <v>32</v>
      </c>
      <c r="R78" s="5" t="s">
        <v>31</v>
      </c>
      <c r="S78" s="5" t="s">
        <v>31</v>
      </c>
      <c r="T78" s="5" t="s">
        <v>32</v>
      </c>
      <c r="U78" s="5" t="s">
        <v>31</v>
      </c>
      <c r="V78" s="5" t="s">
        <v>31</v>
      </c>
      <c r="W78" s="5" t="s">
        <v>31</v>
      </c>
      <c r="X78" s="5" t="s">
        <v>32</v>
      </c>
      <c r="Y78" s="5" t="s">
        <v>32</v>
      </c>
      <c r="Z78" s="6" t="s">
        <v>32</v>
      </c>
    </row>
    <row r="79" spans="1:26" ht="40.200000000000003" thickBot="1" x14ac:dyDescent="0.35">
      <c r="A79" s="11" t="s">
        <v>105</v>
      </c>
      <c r="B79" s="8" t="s">
        <v>26</v>
      </c>
      <c r="C79" s="8" t="s">
        <v>27</v>
      </c>
      <c r="D79" s="8" t="s">
        <v>36</v>
      </c>
      <c r="E79" s="8" t="s">
        <v>40</v>
      </c>
      <c r="F79" s="8" t="s">
        <v>30</v>
      </c>
      <c r="G79" s="8" t="s">
        <v>33</v>
      </c>
      <c r="H79" s="8" t="s">
        <v>33</v>
      </c>
      <c r="I79" s="8" t="s">
        <v>33</v>
      </c>
      <c r="J79" s="8" t="s">
        <v>33</v>
      </c>
      <c r="K79" s="8" t="s">
        <v>33</v>
      </c>
      <c r="L79" s="8" t="s">
        <v>33</v>
      </c>
      <c r="M79" s="8" t="s">
        <v>33</v>
      </c>
      <c r="N79" s="8" t="s">
        <v>33</v>
      </c>
      <c r="O79" s="8" t="s">
        <v>33</v>
      </c>
      <c r="P79" s="8" t="s">
        <v>33</v>
      </c>
      <c r="Q79" s="8" t="s">
        <v>33</v>
      </c>
      <c r="R79" s="8" t="s">
        <v>33</v>
      </c>
      <c r="S79" s="8" t="s">
        <v>33</v>
      </c>
      <c r="T79" s="8" t="s">
        <v>33</v>
      </c>
      <c r="U79" s="8" t="s">
        <v>33</v>
      </c>
      <c r="V79" s="8" t="s">
        <v>33</v>
      </c>
      <c r="W79" s="8" t="s">
        <v>33</v>
      </c>
      <c r="X79" s="8" t="s">
        <v>33</v>
      </c>
      <c r="Y79" s="8" t="s">
        <v>33</v>
      </c>
      <c r="Z79" s="9" t="s">
        <v>33</v>
      </c>
    </row>
    <row r="80" spans="1:26" ht="27" thickBot="1" x14ac:dyDescent="0.35">
      <c r="A80" s="10" t="s">
        <v>106</v>
      </c>
      <c r="B80" s="5" t="s">
        <v>26</v>
      </c>
      <c r="C80" s="5" t="s">
        <v>35</v>
      </c>
      <c r="D80" s="5" t="s">
        <v>36</v>
      </c>
      <c r="E80" s="5" t="s">
        <v>38</v>
      </c>
      <c r="F80" s="5" t="s">
        <v>41</v>
      </c>
      <c r="G80" s="5" t="s">
        <v>31</v>
      </c>
      <c r="H80" s="5" t="s">
        <v>33</v>
      </c>
      <c r="I80" s="5" t="s">
        <v>33</v>
      </c>
      <c r="J80" s="5" t="s">
        <v>31</v>
      </c>
      <c r="K80" s="5" t="s">
        <v>33</v>
      </c>
      <c r="L80" s="5" t="s">
        <v>33</v>
      </c>
      <c r="M80" s="5" t="s">
        <v>31</v>
      </c>
      <c r="N80" s="5" t="s">
        <v>31</v>
      </c>
      <c r="O80" s="5" t="s">
        <v>31</v>
      </c>
      <c r="P80" s="5" t="s">
        <v>33</v>
      </c>
      <c r="Q80" s="5" t="s">
        <v>33</v>
      </c>
      <c r="R80" s="5" t="s">
        <v>33</v>
      </c>
      <c r="S80" s="5" t="s">
        <v>31</v>
      </c>
      <c r="T80" s="5" t="s">
        <v>31</v>
      </c>
      <c r="U80" s="5" t="s">
        <v>31</v>
      </c>
      <c r="V80" s="5" t="s">
        <v>31</v>
      </c>
      <c r="W80" s="5" t="s">
        <v>33</v>
      </c>
      <c r="X80" s="5" t="s">
        <v>31</v>
      </c>
      <c r="Y80" s="5" t="s">
        <v>33</v>
      </c>
      <c r="Z80" s="6" t="s">
        <v>32</v>
      </c>
    </row>
    <row r="81" spans="1:26" ht="27" thickBot="1" x14ac:dyDescent="0.35">
      <c r="A81" s="11" t="s">
        <v>107</v>
      </c>
      <c r="B81" s="8" t="s">
        <v>26</v>
      </c>
      <c r="C81" s="8" t="s">
        <v>27</v>
      </c>
      <c r="D81" s="8" t="s">
        <v>36</v>
      </c>
      <c r="E81" s="8" t="s">
        <v>38</v>
      </c>
      <c r="F81" s="8" t="s">
        <v>39</v>
      </c>
      <c r="G81" s="8" t="s">
        <v>33</v>
      </c>
      <c r="H81" s="8" t="s">
        <v>33</v>
      </c>
      <c r="I81" s="8" t="s">
        <v>31</v>
      </c>
      <c r="J81" s="8" t="s">
        <v>31</v>
      </c>
      <c r="K81" s="8" t="s">
        <v>32</v>
      </c>
      <c r="L81" s="8" t="s">
        <v>32</v>
      </c>
      <c r="M81" s="8" t="s">
        <v>31</v>
      </c>
      <c r="N81" s="8" t="s">
        <v>33</v>
      </c>
      <c r="O81" s="8" t="s">
        <v>31</v>
      </c>
      <c r="P81" s="8" t="s">
        <v>32</v>
      </c>
      <c r="Q81" s="8" t="s">
        <v>32</v>
      </c>
      <c r="R81" s="8" t="s">
        <v>31</v>
      </c>
      <c r="S81" s="8" t="s">
        <v>31</v>
      </c>
      <c r="T81" s="8" t="s">
        <v>33</v>
      </c>
      <c r="U81" s="8" t="s">
        <v>31</v>
      </c>
      <c r="V81" s="8" t="s">
        <v>33</v>
      </c>
      <c r="W81" s="8" t="s">
        <v>43</v>
      </c>
      <c r="X81" s="8" t="s">
        <v>31</v>
      </c>
      <c r="Y81" s="8" t="s">
        <v>43</v>
      </c>
      <c r="Z81" s="9" t="s">
        <v>43</v>
      </c>
    </row>
    <row r="82" spans="1:26" ht="27" thickBot="1" x14ac:dyDescent="0.35">
      <c r="A82" s="10" t="s">
        <v>108</v>
      </c>
      <c r="B82" s="5" t="s">
        <v>26</v>
      </c>
      <c r="C82" s="5" t="s">
        <v>27</v>
      </c>
      <c r="D82" s="5" t="s">
        <v>44</v>
      </c>
      <c r="E82" s="5" t="s">
        <v>38</v>
      </c>
      <c r="F82" s="5" t="s">
        <v>30</v>
      </c>
      <c r="G82" s="5" t="s">
        <v>31</v>
      </c>
      <c r="H82" s="5" t="s">
        <v>33</v>
      </c>
      <c r="I82" s="5" t="s">
        <v>31</v>
      </c>
      <c r="J82" s="5" t="s">
        <v>31</v>
      </c>
      <c r="K82" s="5" t="s">
        <v>33</v>
      </c>
      <c r="L82" s="5" t="s">
        <v>32</v>
      </c>
      <c r="M82" s="5" t="s">
        <v>31</v>
      </c>
      <c r="N82" s="5" t="s">
        <v>31</v>
      </c>
      <c r="O82" s="5" t="s">
        <v>32</v>
      </c>
      <c r="P82" s="5" t="s">
        <v>31</v>
      </c>
      <c r="Q82" s="5" t="s">
        <v>31</v>
      </c>
      <c r="R82" s="5" t="s">
        <v>32</v>
      </c>
      <c r="S82" s="5" t="s">
        <v>31</v>
      </c>
      <c r="T82" s="5" t="s">
        <v>31</v>
      </c>
      <c r="U82" s="5" t="s">
        <v>31</v>
      </c>
      <c r="V82" s="5" t="s">
        <v>31</v>
      </c>
      <c r="W82" s="5" t="s">
        <v>31</v>
      </c>
      <c r="X82" s="5" t="s">
        <v>33</v>
      </c>
      <c r="Y82" s="5" t="s">
        <v>32</v>
      </c>
      <c r="Z82" s="6" t="s">
        <v>32</v>
      </c>
    </row>
    <row r="83" spans="1:26" ht="27" thickBot="1" x14ac:dyDescent="0.35">
      <c r="A83" s="11" t="s">
        <v>109</v>
      </c>
      <c r="B83" s="8" t="s">
        <v>26</v>
      </c>
      <c r="C83" s="8" t="s">
        <v>27</v>
      </c>
      <c r="D83" s="8" t="s">
        <v>36</v>
      </c>
      <c r="E83" s="8" t="s">
        <v>42</v>
      </c>
      <c r="F83" s="8" t="s">
        <v>30</v>
      </c>
      <c r="G83" s="8" t="s">
        <v>31</v>
      </c>
      <c r="H83" s="8" t="s">
        <v>31</v>
      </c>
      <c r="I83" s="8" t="s">
        <v>31</v>
      </c>
      <c r="J83" s="8" t="s">
        <v>31</v>
      </c>
      <c r="K83" s="8" t="s">
        <v>31</v>
      </c>
      <c r="L83" s="8" t="s">
        <v>31</v>
      </c>
      <c r="M83" s="8" t="s">
        <v>31</v>
      </c>
      <c r="N83" s="8" t="s">
        <v>31</v>
      </c>
      <c r="O83" s="8" t="s">
        <v>31</v>
      </c>
      <c r="P83" s="8" t="s">
        <v>32</v>
      </c>
      <c r="Q83" s="8" t="s">
        <v>32</v>
      </c>
      <c r="R83" s="8" t="s">
        <v>32</v>
      </c>
      <c r="S83" s="8" t="s">
        <v>31</v>
      </c>
      <c r="T83" s="8" t="s">
        <v>31</v>
      </c>
      <c r="U83" s="8" t="s">
        <v>31</v>
      </c>
      <c r="V83" s="8" t="s">
        <v>31</v>
      </c>
      <c r="W83" s="8" t="s">
        <v>31</v>
      </c>
      <c r="X83" s="8" t="s">
        <v>31</v>
      </c>
      <c r="Y83" s="8" t="s">
        <v>31</v>
      </c>
      <c r="Z83" s="9" t="s">
        <v>34</v>
      </c>
    </row>
    <row r="84" spans="1:26" ht="27" thickBot="1" x14ac:dyDescent="0.35">
      <c r="A84" s="10" t="s">
        <v>110</v>
      </c>
      <c r="B84" s="5" t="s">
        <v>26</v>
      </c>
      <c r="C84" s="5" t="s">
        <v>27</v>
      </c>
      <c r="D84" s="5" t="s">
        <v>28</v>
      </c>
      <c r="E84" s="5" t="s">
        <v>29</v>
      </c>
      <c r="F84" s="5" t="s">
        <v>30</v>
      </c>
      <c r="G84" s="5" t="s">
        <v>31</v>
      </c>
      <c r="H84" s="5" t="s">
        <v>32</v>
      </c>
      <c r="I84" s="5" t="s">
        <v>31</v>
      </c>
      <c r="J84" s="5" t="s">
        <v>32</v>
      </c>
      <c r="K84" s="5" t="s">
        <v>31</v>
      </c>
      <c r="L84" s="5" t="s">
        <v>34</v>
      </c>
      <c r="M84" s="5" t="s">
        <v>31</v>
      </c>
      <c r="N84" s="5" t="s">
        <v>32</v>
      </c>
      <c r="O84" s="5" t="s">
        <v>33</v>
      </c>
      <c r="P84" s="5" t="s">
        <v>31</v>
      </c>
      <c r="Q84" s="5" t="s">
        <v>33</v>
      </c>
      <c r="R84" s="5" t="s">
        <v>31</v>
      </c>
      <c r="S84" s="5" t="s">
        <v>33</v>
      </c>
      <c r="T84" s="5" t="s">
        <v>43</v>
      </c>
      <c r="U84" s="5" t="s">
        <v>31</v>
      </c>
      <c r="V84" s="5" t="s">
        <v>32</v>
      </c>
      <c r="W84" s="5" t="s">
        <v>32</v>
      </c>
      <c r="X84" s="5" t="s">
        <v>31</v>
      </c>
      <c r="Y84" s="5" t="s">
        <v>32</v>
      </c>
      <c r="Z84" s="6" t="s">
        <v>31</v>
      </c>
    </row>
    <row r="85" spans="1:26" ht="40.200000000000003" thickBot="1" x14ac:dyDescent="0.35">
      <c r="A85" s="11" t="s">
        <v>111</v>
      </c>
      <c r="B85" s="8" t="s">
        <v>26</v>
      </c>
      <c r="C85" s="8" t="s">
        <v>35</v>
      </c>
      <c r="D85" s="8" t="s">
        <v>36</v>
      </c>
      <c r="E85" s="8" t="s">
        <v>40</v>
      </c>
      <c r="F85" s="8" t="s">
        <v>39</v>
      </c>
      <c r="G85" s="8" t="s">
        <v>34</v>
      </c>
      <c r="H85" s="8" t="s">
        <v>31</v>
      </c>
      <c r="I85" s="8" t="s">
        <v>31</v>
      </c>
      <c r="J85" s="8" t="s">
        <v>31</v>
      </c>
      <c r="K85" s="8" t="s">
        <v>31</v>
      </c>
      <c r="L85" s="8" t="s">
        <v>32</v>
      </c>
      <c r="M85" s="8" t="s">
        <v>32</v>
      </c>
      <c r="N85" s="8" t="s">
        <v>31</v>
      </c>
      <c r="O85" s="8" t="s">
        <v>31</v>
      </c>
      <c r="P85" s="8" t="s">
        <v>34</v>
      </c>
      <c r="Q85" s="8" t="s">
        <v>31</v>
      </c>
      <c r="R85" s="8" t="s">
        <v>31</v>
      </c>
      <c r="S85" s="8" t="s">
        <v>33</v>
      </c>
      <c r="T85" s="8" t="s">
        <v>31</v>
      </c>
      <c r="U85" s="8" t="s">
        <v>34</v>
      </c>
      <c r="V85" s="8" t="s">
        <v>31</v>
      </c>
      <c r="W85" s="8" t="s">
        <v>31</v>
      </c>
      <c r="X85" s="8" t="s">
        <v>33</v>
      </c>
      <c r="Y85" s="8" t="s">
        <v>33</v>
      </c>
      <c r="Z85" s="9" t="s">
        <v>34</v>
      </c>
    </row>
    <row r="86" spans="1:26" ht="27" thickBot="1" x14ac:dyDescent="0.35">
      <c r="A86" s="10" t="s">
        <v>112</v>
      </c>
      <c r="B86" s="5" t="s">
        <v>26</v>
      </c>
      <c r="C86" s="5" t="s">
        <v>27</v>
      </c>
      <c r="D86" s="5" t="s">
        <v>28</v>
      </c>
      <c r="E86" s="5" t="s">
        <v>38</v>
      </c>
      <c r="F86" s="5" t="s">
        <v>30</v>
      </c>
      <c r="G86" s="5" t="s">
        <v>33</v>
      </c>
      <c r="H86" s="5" t="s">
        <v>33</v>
      </c>
      <c r="I86" s="5" t="s">
        <v>33</v>
      </c>
      <c r="J86" s="5" t="s">
        <v>33</v>
      </c>
      <c r="K86" s="5" t="s">
        <v>33</v>
      </c>
      <c r="L86" s="5" t="s">
        <v>33</v>
      </c>
      <c r="M86" s="5" t="s">
        <v>33</v>
      </c>
      <c r="N86" s="5" t="s">
        <v>33</v>
      </c>
      <c r="O86" s="5" t="s">
        <v>33</v>
      </c>
      <c r="P86" s="5" t="s">
        <v>33</v>
      </c>
      <c r="Q86" s="5" t="s">
        <v>33</v>
      </c>
      <c r="R86" s="5" t="s">
        <v>33</v>
      </c>
      <c r="S86" s="5" t="s">
        <v>33</v>
      </c>
      <c r="T86" s="5" t="s">
        <v>33</v>
      </c>
      <c r="U86" s="5" t="s">
        <v>33</v>
      </c>
      <c r="V86" s="5" t="s">
        <v>33</v>
      </c>
      <c r="W86" s="5" t="s">
        <v>33</v>
      </c>
      <c r="X86" s="5" t="s">
        <v>33</v>
      </c>
      <c r="Y86" s="5" t="s">
        <v>33</v>
      </c>
      <c r="Z86" s="6" t="s">
        <v>33</v>
      </c>
    </row>
    <row r="87" spans="1:26" ht="27" thickBot="1" x14ac:dyDescent="0.35">
      <c r="A87" s="11" t="s">
        <v>113</v>
      </c>
      <c r="B87" s="8" t="s">
        <v>26</v>
      </c>
      <c r="C87" s="8" t="s">
        <v>27</v>
      </c>
      <c r="D87" s="8" t="s">
        <v>36</v>
      </c>
      <c r="E87" s="8" t="s">
        <v>38</v>
      </c>
      <c r="F87" s="8" t="s">
        <v>30</v>
      </c>
      <c r="G87" s="8" t="s">
        <v>31</v>
      </c>
      <c r="H87" s="8" t="s">
        <v>31</v>
      </c>
      <c r="I87" s="8" t="s">
        <v>31</v>
      </c>
      <c r="J87" s="8" t="s">
        <v>31</v>
      </c>
      <c r="K87" s="8" t="s">
        <v>31</v>
      </c>
      <c r="L87" s="8" t="s">
        <v>31</v>
      </c>
      <c r="M87" s="8" t="s">
        <v>31</v>
      </c>
      <c r="N87" s="8" t="s">
        <v>31</v>
      </c>
      <c r="O87" s="8" t="s">
        <v>31</v>
      </c>
      <c r="P87" s="8" t="s">
        <v>31</v>
      </c>
      <c r="Q87" s="8" t="s">
        <v>31</v>
      </c>
      <c r="R87" s="8" t="s">
        <v>32</v>
      </c>
      <c r="S87" s="8" t="s">
        <v>34</v>
      </c>
      <c r="T87" s="8" t="s">
        <v>31</v>
      </c>
      <c r="U87" s="8" t="s">
        <v>31</v>
      </c>
      <c r="V87" s="8" t="s">
        <v>31</v>
      </c>
      <c r="W87" s="8" t="s">
        <v>31</v>
      </c>
      <c r="X87" s="8" t="s">
        <v>32</v>
      </c>
      <c r="Y87" s="8" t="s">
        <v>32</v>
      </c>
      <c r="Z87" s="9" t="s">
        <v>33</v>
      </c>
    </row>
    <row r="88" spans="1:26" ht="27" thickBot="1" x14ac:dyDescent="0.35">
      <c r="A88" s="10" t="s">
        <v>114</v>
      </c>
      <c r="B88" s="5" t="s">
        <v>26</v>
      </c>
      <c r="C88" s="5" t="s">
        <v>35</v>
      </c>
      <c r="D88" s="5" t="s">
        <v>36</v>
      </c>
      <c r="E88" s="5" t="s">
        <v>29</v>
      </c>
      <c r="F88" s="5" t="s">
        <v>30</v>
      </c>
      <c r="G88" s="5" t="s">
        <v>31</v>
      </c>
      <c r="H88" s="5" t="s">
        <v>31</v>
      </c>
      <c r="I88" s="5" t="s">
        <v>31</v>
      </c>
      <c r="J88" s="5" t="s">
        <v>31</v>
      </c>
      <c r="K88" s="5" t="s">
        <v>31</v>
      </c>
      <c r="L88" s="5" t="s">
        <v>31</v>
      </c>
      <c r="M88" s="5" t="s">
        <v>31</v>
      </c>
      <c r="N88" s="5" t="s">
        <v>31</v>
      </c>
      <c r="O88" s="5" t="s">
        <v>31</v>
      </c>
      <c r="P88" s="5" t="s">
        <v>31</v>
      </c>
      <c r="Q88" s="5" t="s">
        <v>31</v>
      </c>
      <c r="R88" s="5" t="s">
        <v>31</v>
      </c>
      <c r="S88" s="5" t="s">
        <v>31</v>
      </c>
      <c r="T88" s="5" t="s">
        <v>31</v>
      </c>
      <c r="U88" s="5" t="s">
        <v>31</v>
      </c>
      <c r="V88" s="5" t="s">
        <v>31</v>
      </c>
      <c r="W88" s="5" t="s">
        <v>31</v>
      </c>
      <c r="X88" s="5" t="s">
        <v>31</v>
      </c>
      <c r="Y88" s="5" t="s">
        <v>31</v>
      </c>
      <c r="Z88" s="6" t="s">
        <v>31</v>
      </c>
    </row>
    <row r="89" spans="1:26" ht="27" thickBot="1" x14ac:dyDescent="0.35">
      <c r="A89" s="11" t="s">
        <v>115</v>
      </c>
      <c r="B89" s="8" t="s">
        <v>26</v>
      </c>
      <c r="C89" s="8" t="s">
        <v>35</v>
      </c>
      <c r="D89" s="8" t="s">
        <v>36</v>
      </c>
      <c r="E89" s="8" t="s">
        <v>29</v>
      </c>
      <c r="F89" s="8" t="s">
        <v>39</v>
      </c>
      <c r="G89" s="8" t="s">
        <v>32</v>
      </c>
      <c r="H89" s="8" t="s">
        <v>31</v>
      </c>
      <c r="I89" s="8" t="s">
        <v>31</v>
      </c>
      <c r="J89" s="8" t="s">
        <v>31</v>
      </c>
      <c r="K89" s="8" t="s">
        <v>31</v>
      </c>
      <c r="L89" s="8" t="s">
        <v>32</v>
      </c>
      <c r="M89" s="8" t="s">
        <v>34</v>
      </c>
      <c r="N89" s="8" t="s">
        <v>32</v>
      </c>
      <c r="O89" s="8" t="s">
        <v>31</v>
      </c>
      <c r="P89" s="8" t="s">
        <v>32</v>
      </c>
      <c r="Q89" s="8" t="s">
        <v>33</v>
      </c>
      <c r="R89" s="8" t="s">
        <v>31</v>
      </c>
      <c r="S89" s="8" t="s">
        <v>33</v>
      </c>
      <c r="T89" s="8" t="s">
        <v>31</v>
      </c>
      <c r="U89" s="8" t="s">
        <v>33</v>
      </c>
      <c r="V89" s="8" t="s">
        <v>33</v>
      </c>
      <c r="W89" s="8" t="s">
        <v>31</v>
      </c>
      <c r="X89" s="8" t="s">
        <v>31</v>
      </c>
      <c r="Y89" s="8" t="s">
        <v>31</v>
      </c>
      <c r="Z89" s="9" t="s">
        <v>31</v>
      </c>
    </row>
    <row r="90" spans="1:26" ht="40.200000000000003" thickBot="1" x14ac:dyDescent="0.35">
      <c r="A90" s="10" t="s">
        <v>116</v>
      </c>
      <c r="B90" s="5" t="s">
        <v>26</v>
      </c>
      <c r="C90" s="5" t="s">
        <v>35</v>
      </c>
      <c r="D90" s="5" t="s">
        <v>36</v>
      </c>
      <c r="E90" s="5" t="s">
        <v>38</v>
      </c>
      <c r="F90" s="5" t="s">
        <v>46</v>
      </c>
      <c r="G90" s="5" t="s">
        <v>31</v>
      </c>
      <c r="H90" s="5" t="s">
        <v>31</v>
      </c>
      <c r="I90" s="5" t="s">
        <v>31</v>
      </c>
      <c r="J90" s="5" t="s">
        <v>33</v>
      </c>
      <c r="K90" s="5" t="s">
        <v>31</v>
      </c>
      <c r="L90" s="5" t="s">
        <v>31</v>
      </c>
      <c r="M90" s="5" t="s">
        <v>31</v>
      </c>
      <c r="N90" s="5" t="s">
        <v>31</v>
      </c>
      <c r="O90" s="5" t="s">
        <v>31</v>
      </c>
      <c r="P90" s="5" t="s">
        <v>33</v>
      </c>
      <c r="Q90" s="5" t="s">
        <v>33</v>
      </c>
      <c r="R90" s="5" t="s">
        <v>31</v>
      </c>
      <c r="S90" s="5" t="s">
        <v>31</v>
      </c>
      <c r="T90" s="5" t="s">
        <v>31</v>
      </c>
      <c r="U90" s="5" t="s">
        <v>31</v>
      </c>
      <c r="V90" s="5" t="s">
        <v>31</v>
      </c>
      <c r="W90" s="5" t="s">
        <v>31</v>
      </c>
      <c r="X90" s="5" t="s">
        <v>33</v>
      </c>
      <c r="Y90" s="5" t="s">
        <v>31</v>
      </c>
      <c r="Z90" s="6" t="s">
        <v>31</v>
      </c>
    </row>
    <row r="91" spans="1:26" ht="40.200000000000003" thickBot="1" x14ac:dyDescent="0.35">
      <c r="A91" s="11" t="s">
        <v>117</v>
      </c>
      <c r="B91" s="8" t="s">
        <v>63</v>
      </c>
      <c r="C91" s="8" t="s">
        <v>27</v>
      </c>
      <c r="D91" s="8" t="s">
        <v>67</v>
      </c>
      <c r="E91" s="8" t="s">
        <v>38</v>
      </c>
      <c r="F91" s="8" t="s">
        <v>45</v>
      </c>
      <c r="G91" s="8" t="s">
        <v>31</v>
      </c>
      <c r="H91" s="8" t="s">
        <v>31</v>
      </c>
      <c r="I91" s="8" t="s">
        <v>31</v>
      </c>
      <c r="J91" s="8" t="s">
        <v>31</v>
      </c>
      <c r="K91" s="8" t="s">
        <v>31</v>
      </c>
      <c r="L91" s="8" t="s">
        <v>31</v>
      </c>
      <c r="M91" s="8" t="s">
        <v>31</v>
      </c>
      <c r="N91" s="8" t="s">
        <v>31</v>
      </c>
      <c r="O91" s="8" t="s">
        <v>31</v>
      </c>
      <c r="P91" s="8" t="s">
        <v>31</v>
      </c>
      <c r="Q91" s="8" t="s">
        <v>31</v>
      </c>
      <c r="R91" s="8" t="s">
        <v>31</v>
      </c>
      <c r="S91" s="8" t="s">
        <v>31</v>
      </c>
      <c r="T91" s="8" t="s">
        <v>31</v>
      </c>
      <c r="U91" s="8" t="s">
        <v>31</v>
      </c>
      <c r="V91" s="8" t="s">
        <v>31</v>
      </c>
      <c r="W91" s="8" t="s">
        <v>31</v>
      </c>
      <c r="X91" s="8" t="s">
        <v>31</v>
      </c>
      <c r="Y91" s="8" t="s">
        <v>31</v>
      </c>
      <c r="Z91" s="9" t="s">
        <v>31</v>
      </c>
    </row>
    <row r="92" spans="1:26" ht="40.200000000000003" thickBot="1" x14ac:dyDescent="0.35">
      <c r="A92" s="10" t="s">
        <v>118</v>
      </c>
      <c r="B92" s="5" t="s">
        <v>63</v>
      </c>
      <c r="C92" s="5" t="s">
        <v>35</v>
      </c>
      <c r="D92" s="5" t="s">
        <v>28</v>
      </c>
      <c r="E92" s="5" t="s">
        <v>38</v>
      </c>
      <c r="F92" s="5" t="s">
        <v>46</v>
      </c>
      <c r="G92" s="5" t="s">
        <v>31</v>
      </c>
      <c r="H92" s="5" t="s">
        <v>31</v>
      </c>
      <c r="I92" s="5" t="s">
        <v>31</v>
      </c>
      <c r="J92" s="5" t="s">
        <v>32</v>
      </c>
      <c r="K92" s="5" t="s">
        <v>32</v>
      </c>
      <c r="L92" s="5" t="s">
        <v>32</v>
      </c>
      <c r="M92" s="5" t="s">
        <v>32</v>
      </c>
      <c r="N92" s="5" t="s">
        <v>32</v>
      </c>
      <c r="O92" s="5" t="s">
        <v>32</v>
      </c>
      <c r="P92" s="5" t="s">
        <v>32</v>
      </c>
      <c r="Q92" s="5" t="s">
        <v>32</v>
      </c>
      <c r="R92" s="5" t="s">
        <v>34</v>
      </c>
      <c r="S92" s="5" t="s">
        <v>32</v>
      </c>
      <c r="T92" s="5" t="s">
        <v>31</v>
      </c>
      <c r="U92" s="5" t="s">
        <v>31</v>
      </c>
      <c r="V92" s="5" t="s">
        <v>32</v>
      </c>
      <c r="W92" s="5" t="s">
        <v>31</v>
      </c>
      <c r="X92" s="5" t="s">
        <v>31</v>
      </c>
      <c r="Y92" s="5" t="s">
        <v>31</v>
      </c>
      <c r="Z92" s="6" t="s">
        <v>32</v>
      </c>
    </row>
    <row r="93" spans="1:26" ht="40.200000000000003" thickBot="1" x14ac:dyDescent="0.35">
      <c r="A93" s="11" t="s">
        <v>119</v>
      </c>
      <c r="B93" s="8" t="s">
        <v>63</v>
      </c>
      <c r="C93" s="8" t="s">
        <v>27</v>
      </c>
      <c r="D93" s="8" t="s">
        <v>36</v>
      </c>
      <c r="E93" s="8" t="s">
        <v>40</v>
      </c>
      <c r="F93" s="8" t="s">
        <v>41</v>
      </c>
      <c r="G93" s="8" t="s">
        <v>31</v>
      </c>
      <c r="H93" s="8" t="s">
        <v>32</v>
      </c>
      <c r="I93" s="8" t="s">
        <v>31</v>
      </c>
      <c r="J93" s="8" t="s">
        <v>31</v>
      </c>
      <c r="K93" s="8" t="s">
        <v>33</v>
      </c>
      <c r="L93" s="8" t="s">
        <v>32</v>
      </c>
      <c r="M93" s="8" t="s">
        <v>43</v>
      </c>
      <c r="N93" s="8" t="s">
        <v>33</v>
      </c>
      <c r="O93" s="8" t="s">
        <v>34</v>
      </c>
      <c r="P93" s="8" t="s">
        <v>32</v>
      </c>
      <c r="Q93" s="8" t="s">
        <v>31</v>
      </c>
      <c r="R93" s="8" t="s">
        <v>32</v>
      </c>
      <c r="S93" s="8" t="s">
        <v>32</v>
      </c>
      <c r="T93" s="8" t="s">
        <v>34</v>
      </c>
      <c r="U93" s="8" t="s">
        <v>31</v>
      </c>
      <c r="V93" s="8" t="s">
        <v>31</v>
      </c>
      <c r="W93" s="8" t="s">
        <v>43</v>
      </c>
      <c r="X93" s="8" t="s">
        <v>43</v>
      </c>
      <c r="Y93" s="8" t="s">
        <v>34</v>
      </c>
      <c r="Z93" s="9" t="s">
        <v>43</v>
      </c>
    </row>
    <row r="94" spans="1:26" ht="40.200000000000003" thickBot="1" x14ac:dyDescent="0.35">
      <c r="A94" s="10" t="s">
        <v>120</v>
      </c>
      <c r="B94" s="5" t="s">
        <v>63</v>
      </c>
      <c r="C94" s="5" t="s">
        <v>27</v>
      </c>
      <c r="D94" s="5" t="s">
        <v>67</v>
      </c>
      <c r="E94" s="5" t="s">
        <v>40</v>
      </c>
      <c r="F94" s="5" t="s">
        <v>45</v>
      </c>
      <c r="G94" s="5" t="s">
        <v>31</v>
      </c>
      <c r="H94" s="5" t="s">
        <v>31</v>
      </c>
      <c r="I94" s="5" t="s">
        <v>31</v>
      </c>
      <c r="J94" s="5" t="s">
        <v>33</v>
      </c>
      <c r="K94" s="5" t="s">
        <v>31</v>
      </c>
      <c r="L94" s="5" t="s">
        <v>31</v>
      </c>
      <c r="M94" s="5" t="s">
        <v>32</v>
      </c>
      <c r="N94" s="5" t="s">
        <v>31</v>
      </c>
      <c r="O94" s="5" t="s">
        <v>31</v>
      </c>
      <c r="P94" s="5" t="s">
        <v>31</v>
      </c>
      <c r="Q94" s="5" t="s">
        <v>34</v>
      </c>
      <c r="R94" s="5" t="s">
        <v>32</v>
      </c>
      <c r="S94" s="5" t="s">
        <v>43</v>
      </c>
      <c r="T94" s="5" t="s">
        <v>34</v>
      </c>
      <c r="U94" s="5" t="s">
        <v>31</v>
      </c>
      <c r="V94" s="5" t="s">
        <v>31</v>
      </c>
      <c r="W94" s="5" t="s">
        <v>31</v>
      </c>
      <c r="X94" s="5" t="s">
        <v>31</v>
      </c>
      <c r="Y94" s="5" t="s">
        <v>31</v>
      </c>
      <c r="Z94" s="6" t="s">
        <v>33</v>
      </c>
    </row>
    <row r="95" spans="1:26" ht="40.200000000000003" thickBot="1" x14ac:dyDescent="0.35">
      <c r="A95" s="11" t="s">
        <v>121</v>
      </c>
      <c r="B95" s="8" t="s">
        <v>66</v>
      </c>
      <c r="C95" s="8" t="s">
        <v>35</v>
      </c>
      <c r="D95" s="8" t="s">
        <v>44</v>
      </c>
      <c r="E95" s="8" t="s">
        <v>40</v>
      </c>
      <c r="F95" s="8" t="s">
        <v>45</v>
      </c>
      <c r="G95" s="8" t="s">
        <v>34</v>
      </c>
      <c r="H95" s="8" t="s">
        <v>34</v>
      </c>
      <c r="I95" s="8" t="s">
        <v>31</v>
      </c>
      <c r="J95" s="8" t="s">
        <v>31</v>
      </c>
      <c r="K95" s="8" t="s">
        <v>31</v>
      </c>
      <c r="L95" s="8" t="s">
        <v>33</v>
      </c>
      <c r="M95" s="8" t="s">
        <v>33</v>
      </c>
      <c r="N95" s="8" t="s">
        <v>31</v>
      </c>
      <c r="O95" s="8" t="s">
        <v>32</v>
      </c>
      <c r="P95" s="8" t="s">
        <v>33</v>
      </c>
      <c r="Q95" s="8" t="s">
        <v>31</v>
      </c>
      <c r="R95" s="8" t="s">
        <v>32</v>
      </c>
      <c r="S95" s="8" t="s">
        <v>33</v>
      </c>
      <c r="T95" s="8" t="s">
        <v>33</v>
      </c>
      <c r="U95" s="8" t="s">
        <v>31</v>
      </c>
      <c r="V95" s="8" t="s">
        <v>33</v>
      </c>
      <c r="W95" s="8" t="s">
        <v>33</v>
      </c>
      <c r="X95" s="8" t="s">
        <v>43</v>
      </c>
      <c r="Y95" s="8" t="s">
        <v>34</v>
      </c>
      <c r="Z95" s="9" t="s">
        <v>33</v>
      </c>
    </row>
    <row r="96" spans="1:26" ht="40.200000000000003" thickBot="1" x14ac:dyDescent="0.35">
      <c r="A96" s="10" t="s">
        <v>122</v>
      </c>
      <c r="B96" s="5" t="s">
        <v>37</v>
      </c>
      <c r="C96" s="5" t="s">
        <v>35</v>
      </c>
      <c r="D96" s="5" t="s">
        <v>28</v>
      </c>
      <c r="E96" s="5" t="s">
        <v>40</v>
      </c>
      <c r="F96" s="5" t="s">
        <v>46</v>
      </c>
      <c r="G96" s="5" t="s">
        <v>32</v>
      </c>
      <c r="H96" s="5" t="s">
        <v>34</v>
      </c>
      <c r="I96" s="5" t="s">
        <v>32</v>
      </c>
      <c r="J96" s="5" t="s">
        <v>34</v>
      </c>
      <c r="K96" s="5" t="s">
        <v>32</v>
      </c>
      <c r="L96" s="5" t="s">
        <v>32</v>
      </c>
      <c r="M96" s="5" t="s">
        <v>34</v>
      </c>
      <c r="N96" s="5" t="s">
        <v>32</v>
      </c>
      <c r="O96" s="5" t="s">
        <v>34</v>
      </c>
      <c r="P96" s="5" t="s">
        <v>34</v>
      </c>
      <c r="Q96" s="5" t="s">
        <v>34</v>
      </c>
      <c r="R96" s="5" t="s">
        <v>34</v>
      </c>
      <c r="S96" s="5" t="s">
        <v>34</v>
      </c>
      <c r="T96" s="5" t="s">
        <v>34</v>
      </c>
      <c r="U96" s="5" t="s">
        <v>34</v>
      </c>
      <c r="V96" s="5" t="s">
        <v>43</v>
      </c>
      <c r="W96" s="5" t="s">
        <v>43</v>
      </c>
      <c r="X96" s="5" t="s">
        <v>43</v>
      </c>
      <c r="Y96" s="5" t="s">
        <v>43</v>
      </c>
      <c r="Z96" s="6" t="s">
        <v>43</v>
      </c>
    </row>
    <row r="97" spans="1:26" ht="27" thickBot="1" x14ac:dyDescent="0.35">
      <c r="A97" s="11" t="s">
        <v>123</v>
      </c>
      <c r="B97" s="8" t="s">
        <v>37</v>
      </c>
      <c r="C97" s="8" t="s">
        <v>35</v>
      </c>
      <c r="D97" s="8" t="s">
        <v>44</v>
      </c>
      <c r="E97" s="8" t="s">
        <v>42</v>
      </c>
      <c r="F97" s="8" t="s">
        <v>39</v>
      </c>
      <c r="G97" s="8" t="s">
        <v>32</v>
      </c>
      <c r="H97" s="8" t="s">
        <v>43</v>
      </c>
      <c r="I97" s="8" t="s">
        <v>31</v>
      </c>
      <c r="J97" s="8" t="s">
        <v>32</v>
      </c>
      <c r="K97" s="8" t="s">
        <v>34</v>
      </c>
      <c r="L97" s="8" t="s">
        <v>33</v>
      </c>
      <c r="M97" s="8" t="s">
        <v>34</v>
      </c>
      <c r="N97" s="8" t="s">
        <v>43</v>
      </c>
      <c r="O97" s="8" t="s">
        <v>31</v>
      </c>
      <c r="P97" s="8" t="s">
        <v>43</v>
      </c>
      <c r="Q97" s="8" t="s">
        <v>32</v>
      </c>
      <c r="R97" s="8" t="s">
        <v>34</v>
      </c>
      <c r="S97" s="8" t="s">
        <v>32</v>
      </c>
      <c r="T97" s="8" t="s">
        <v>43</v>
      </c>
      <c r="U97" s="8" t="s">
        <v>43</v>
      </c>
      <c r="V97" s="8" t="s">
        <v>43</v>
      </c>
      <c r="W97" s="8" t="s">
        <v>31</v>
      </c>
      <c r="X97" s="8" t="s">
        <v>32</v>
      </c>
      <c r="Y97" s="8" t="s">
        <v>34</v>
      </c>
      <c r="Z97" s="9" t="s">
        <v>43</v>
      </c>
    </row>
    <row r="98" spans="1:26" ht="40.200000000000003" thickBot="1" x14ac:dyDescent="0.35">
      <c r="A98" s="10" t="s">
        <v>124</v>
      </c>
      <c r="B98" s="5" t="s">
        <v>37</v>
      </c>
      <c r="C98" s="5" t="s">
        <v>35</v>
      </c>
      <c r="D98" s="5" t="s">
        <v>44</v>
      </c>
      <c r="E98" s="5" t="s">
        <v>42</v>
      </c>
      <c r="F98" s="5" t="s">
        <v>46</v>
      </c>
      <c r="G98" s="5" t="s">
        <v>43</v>
      </c>
      <c r="H98" s="5" t="s">
        <v>34</v>
      </c>
      <c r="I98" s="5" t="s">
        <v>34</v>
      </c>
      <c r="J98" s="5" t="s">
        <v>34</v>
      </c>
      <c r="K98" s="5" t="s">
        <v>32</v>
      </c>
      <c r="L98" s="5" t="s">
        <v>43</v>
      </c>
      <c r="M98" s="5" t="s">
        <v>33</v>
      </c>
      <c r="N98" s="5" t="s">
        <v>32</v>
      </c>
      <c r="O98" s="5" t="s">
        <v>31</v>
      </c>
      <c r="P98" s="5" t="s">
        <v>34</v>
      </c>
      <c r="Q98" s="5" t="s">
        <v>34</v>
      </c>
      <c r="R98" s="5" t="s">
        <v>32</v>
      </c>
      <c r="S98" s="5" t="s">
        <v>43</v>
      </c>
      <c r="T98" s="5" t="s">
        <v>34</v>
      </c>
      <c r="U98" s="5" t="s">
        <v>34</v>
      </c>
      <c r="V98" s="5" t="s">
        <v>34</v>
      </c>
      <c r="W98" s="5" t="s">
        <v>43</v>
      </c>
      <c r="X98" s="5" t="s">
        <v>31</v>
      </c>
      <c r="Y98" s="5" t="s">
        <v>32</v>
      </c>
      <c r="Z98" s="6" t="s">
        <v>43</v>
      </c>
    </row>
    <row r="99" spans="1:26" ht="40.200000000000003" thickBot="1" x14ac:dyDescent="0.35">
      <c r="A99" s="11" t="s">
        <v>125</v>
      </c>
      <c r="B99" s="8" t="s">
        <v>26</v>
      </c>
      <c r="C99" s="8" t="s">
        <v>27</v>
      </c>
      <c r="D99" s="8" t="s">
        <v>44</v>
      </c>
      <c r="E99" s="8" t="s">
        <v>38</v>
      </c>
      <c r="F99" s="8" t="s">
        <v>45</v>
      </c>
      <c r="G99" s="8" t="s">
        <v>31</v>
      </c>
      <c r="H99" s="8" t="s">
        <v>32</v>
      </c>
      <c r="I99" s="8" t="s">
        <v>32</v>
      </c>
      <c r="J99" s="8" t="s">
        <v>33</v>
      </c>
      <c r="K99" s="8" t="s">
        <v>32</v>
      </c>
      <c r="L99" s="8" t="s">
        <v>33</v>
      </c>
      <c r="M99" s="8" t="s">
        <v>31</v>
      </c>
      <c r="N99" s="8" t="s">
        <v>31</v>
      </c>
      <c r="O99" s="8" t="s">
        <v>32</v>
      </c>
      <c r="P99" s="8" t="s">
        <v>31</v>
      </c>
      <c r="Q99" s="8" t="s">
        <v>32</v>
      </c>
      <c r="R99" s="8" t="s">
        <v>31</v>
      </c>
      <c r="S99" s="8" t="s">
        <v>32</v>
      </c>
      <c r="T99" s="8" t="s">
        <v>33</v>
      </c>
      <c r="U99" s="8" t="s">
        <v>31</v>
      </c>
      <c r="V99" s="8" t="s">
        <v>33</v>
      </c>
      <c r="W99" s="8" t="s">
        <v>31</v>
      </c>
      <c r="X99" s="8" t="s">
        <v>31</v>
      </c>
      <c r="Y99" s="8" t="s">
        <v>31</v>
      </c>
      <c r="Z99" s="9" t="s">
        <v>31</v>
      </c>
    </row>
    <row r="100" spans="1:26" ht="27" thickBot="1" x14ac:dyDescent="0.35">
      <c r="A100" s="10" t="s">
        <v>126</v>
      </c>
      <c r="B100" s="5" t="s">
        <v>26</v>
      </c>
      <c r="C100" s="5" t="s">
        <v>27</v>
      </c>
      <c r="D100" s="5" t="s">
        <v>36</v>
      </c>
      <c r="E100" s="5" t="s">
        <v>38</v>
      </c>
      <c r="F100" s="5" t="s">
        <v>39</v>
      </c>
      <c r="G100" s="5" t="s">
        <v>32</v>
      </c>
      <c r="H100" s="5" t="s">
        <v>32</v>
      </c>
      <c r="I100" s="5" t="s">
        <v>31</v>
      </c>
      <c r="J100" s="5" t="s">
        <v>31</v>
      </c>
      <c r="K100" s="5" t="s">
        <v>32</v>
      </c>
      <c r="L100" s="5" t="s">
        <v>31</v>
      </c>
      <c r="M100" s="5" t="s">
        <v>31</v>
      </c>
      <c r="N100" s="5" t="s">
        <v>31</v>
      </c>
      <c r="O100" s="5" t="s">
        <v>31</v>
      </c>
      <c r="P100" s="5" t="s">
        <v>32</v>
      </c>
      <c r="Q100" s="5" t="s">
        <v>31</v>
      </c>
      <c r="R100" s="5" t="s">
        <v>31</v>
      </c>
      <c r="S100" s="5" t="s">
        <v>31</v>
      </c>
      <c r="T100" s="5" t="s">
        <v>32</v>
      </c>
      <c r="U100" s="5" t="s">
        <v>31</v>
      </c>
      <c r="V100" s="5" t="s">
        <v>31</v>
      </c>
      <c r="W100" s="5" t="s">
        <v>31</v>
      </c>
      <c r="X100" s="5" t="s">
        <v>31</v>
      </c>
      <c r="Y100" s="5" t="s">
        <v>31</v>
      </c>
      <c r="Z100" s="6" t="s">
        <v>31</v>
      </c>
    </row>
    <row r="101" spans="1:26" ht="40.200000000000003" thickBot="1" x14ac:dyDescent="0.35">
      <c r="A101" s="11" t="s">
        <v>127</v>
      </c>
      <c r="B101" s="8" t="s">
        <v>26</v>
      </c>
      <c r="C101" s="8" t="s">
        <v>35</v>
      </c>
      <c r="D101" s="8" t="s">
        <v>28</v>
      </c>
      <c r="E101" s="8" t="s">
        <v>38</v>
      </c>
      <c r="F101" s="8" t="s">
        <v>45</v>
      </c>
      <c r="G101" s="8" t="s">
        <v>31</v>
      </c>
      <c r="H101" s="8" t="s">
        <v>34</v>
      </c>
      <c r="I101" s="8" t="s">
        <v>34</v>
      </c>
      <c r="J101" s="8" t="s">
        <v>32</v>
      </c>
      <c r="K101" s="8" t="s">
        <v>31</v>
      </c>
      <c r="L101" s="8" t="s">
        <v>34</v>
      </c>
      <c r="M101" s="8" t="s">
        <v>31</v>
      </c>
      <c r="N101" s="8" t="s">
        <v>43</v>
      </c>
      <c r="O101" s="8" t="s">
        <v>34</v>
      </c>
      <c r="P101" s="8" t="s">
        <v>34</v>
      </c>
      <c r="Q101" s="8" t="s">
        <v>34</v>
      </c>
      <c r="R101" s="8" t="s">
        <v>32</v>
      </c>
      <c r="S101" s="8" t="s">
        <v>43</v>
      </c>
      <c r="T101" s="8" t="s">
        <v>43</v>
      </c>
      <c r="U101" s="8" t="s">
        <v>43</v>
      </c>
      <c r="V101" s="8" t="s">
        <v>33</v>
      </c>
      <c r="W101" s="8" t="s">
        <v>32</v>
      </c>
      <c r="X101" s="8" t="s">
        <v>32</v>
      </c>
      <c r="Y101" s="8" t="s">
        <v>32</v>
      </c>
      <c r="Z101" s="9" t="s">
        <v>43</v>
      </c>
    </row>
    <row r="102" spans="1:26" ht="40.200000000000003" thickBot="1" x14ac:dyDescent="0.35">
      <c r="A102" s="10" t="s">
        <v>128</v>
      </c>
      <c r="B102" s="5" t="s">
        <v>66</v>
      </c>
      <c r="C102" s="5" t="s">
        <v>35</v>
      </c>
      <c r="D102" s="5" t="s">
        <v>44</v>
      </c>
      <c r="E102" s="5" t="s">
        <v>40</v>
      </c>
      <c r="F102" s="5" t="s">
        <v>41</v>
      </c>
      <c r="G102" s="5" t="s">
        <v>32</v>
      </c>
      <c r="H102" s="5" t="s">
        <v>33</v>
      </c>
      <c r="I102" s="5" t="s">
        <v>32</v>
      </c>
      <c r="J102" s="5" t="s">
        <v>33</v>
      </c>
      <c r="K102" s="5" t="s">
        <v>34</v>
      </c>
      <c r="L102" s="5" t="s">
        <v>31</v>
      </c>
      <c r="M102" s="5" t="s">
        <v>31</v>
      </c>
      <c r="N102" s="5" t="s">
        <v>31</v>
      </c>
      <c r="O102" s="5" t="s">
        <v>32</v>
      </c>
      <c r="P102" s="5" t="s">
        <v>32</v>
      </c>
      <c r="Q102" s="5" t="s">
        <v>31</v>
      </c>
      <c r="R102" s="5" t="s">
        <v>33</v>
      </c>
      <c r="S102" s="5" t="s">
        <v>31</v>
      </c>
      <c r="T102" s="5" t="s">
        <v>31</v>
      </c>
      <c r="U102" s="5" t="s">
        <v>31</v>
      </c>
      <c r="V102" s="5" t="s">
        <v>32</v>
      </c>
      <c r="W102" s="5" t="s">
        <v>32</v>
      </c>
      <c r="X102" s="5" t="s">
        <v>32</v>
      </c>
      <c r="Y102" s="5" t="s">
        <v>32</v>
      </c>
      <c r="Z102" s="6" t="s">
        <v>32</v>
      </c>
    </row>
    <row r="103" spans="1:26" ht="27" thickBot="1" x14ac:dyDescent="0.35">
      <c r="A103" s="11" t="s">
        <v>129</v>
      </c>
      <c r="B103" s="8" t="s">
        <v>26</v>
      </c>
      <c r="C103" s="8" t="s">
        <v>35</v>
      </c>
      <c r="D103" s="8" t="s">
        <v>44</v>
      </c>
      <c r="E103" s="8" t="s">
        <v>42</v>
      </c>
      <c r="F103" s="8" t="s">
        <v>39</v>
      </c>
      <c r="G103" s="8" t="s">
        <v>34</v>
      </c>
      <c r="H103" s="8" t="s">
        <v>32</v>
      </c>
      <c r="I103" s="8" t="s">
        <v>32</v>
      </c>
      <c r="J103" s="8" t="s">
        <v>32</v>
      </c>
      <c r="K103" s="8" t="s">
        <v>32</v>
      </c>
      <c r="L103" s="8" t="s">
        <v>34</v>
      </c>
      <c r="M103" s="8" t="s">
        <v>32</v>
      </c>
      <c r="N103" s="8" t="s">
        <v>31</v>
      </c>
      <c r="O103" s="8" t="s">
        <v>32</v>
      </c>
      <c r="P103" s="8" t="s">
        <v>34</v>
      </c>
      <c r="Q103" s="8" t="s">
        <v>43</v>
      </c>
      <c r="R103" s="8" t="s">
        <v>43</v>
      </c>
      <c r="S103" s="8" t="s">
        <v>34</v>
      </c>
      <c r="T103" s="8" t="s">
        <v>31</v>
      </c>
      <c r="U103" s="8" t="s">
        <v>43</v>
      </c>
      <c r="V103" s="8" t="s">
        <v>43</v>
      </c>
      <c r="W103" s="8" t="s">
        <v>31</v>
      </c>
      <c r="X103" s="8" t="s">
        <v>32</v>
      </c>
      <c r="Y103" s="8" t="s">
        <v>32</v>
      </c>
      <c r="Z103" s="9" t="s">
        <v>31</v>
      </c>
    </row>
    <row r="104" spans="1:26" ht="27" thickBot="1" x14ac:dyDescent="0.35">
      <c r="A104" s="10" t="s">
        <v>130</v>
      </c>
      <c r="B104" s="5" t="s">
        <v>66</v>
      </c>
      <c r="C104" s="5" t="s">
        <v>35</v>
      </c>
      <c r="D104" s="5" t="s">
        <v>36</v>
      </c>
      <c r="E104" s="5" t="s">
        <v>29</v>
      </c>
      <c r="F104" s="5" t="s">
        <v>41</v>
      </c>
      <c r="G104" s="5" t="s">
        <v>31</v>
      </c>
      <c r="H104" s="5" t="s">
        <v>33</v>
      </c>
      <c r="I104" s="5" t="s">
        <v>31</v>
      </c>
      <c r="J104" s="5" t="s">
        <v>34</v>
      </c>
      <c r="K104" s="5" t="s">
        <v>34</v>
      </c>
      <c r="L104" s="5" t="s">
        <v>32</v>
      </c>
      <c r="M104" s="5" t="s">
        <v>32</v>
      </c>
      <c r="N104" s="5" t="s">
        <v>32</v>
      </c>
      <c r="O104" s="5" t="s">
        <v>33</v>
      </c>
      <c r="P104" s="5" t="s">
        <v>31</v>
      </c>
      <c r="Q104" s="5" t="s">
        <v>32</v>
      </c>
      <c r="R104" s="5" t="s">
        <v>32</v>
      </c>
      <c r="S104" s="5" t="s">
        <v>32</v>
      </c>
      <c r="T104" s="5" t="s">
        <v>32</v>
      </c>
      <c r="U104" s="5" t="s">
        <v>34</v>
      </c>
      <c r="V104" s="5" t="s">
        <v>33</v>
      </c>
      <c r="W104" s="5" t="s">
        <v>43</v>
      </c>
      <c r="X104" s="5" t="s">
        <v>34</v>
      </c>
      <c r="Y104" s="5" t="s">
        <v>34</v>
      </c>
      <c r="Z104" s="6" t="s">
        <v>32</v>
      </c>
    </row>
    <row r="105" spans="1:26" ht="27" thickBot="1" x14ac:dyDescent="0.35">
      <c r="A105" s="12" t="s">
        <v>131</v>
      </c>
      <c r="B105" s="13" t="s">
        <v>26</v>
      </c>
      <c r="C105" s="13" t="s">
        <v>35</v>
      </c>
      <c r="D105" s="13" t="s">
        <v>28</v>
      </c>
      <c r="E105" s="13" t="s">
        <v>38</v>
      </c>
      <c r="F105" s="13" t="s">
        <v>39</v>
      </c>
      <c r="G105" s="13" t="s">
        <v>34</v>
      </c>
      <c r="H105" s="13" t="s">
        <v>32</v>
      </c>
      <c r="I105" s="13" t="s">
        <v>32</v>
      </c>
      <c r="J105" s="13" t="s">
        <v>31</v>
      </c>
      <c r="K105" s="13" t="s">
        <v>34</v>
      </c>
      <c r="L105" s="13" t="s">
        <v>43</v>
      </c>
      <c r="M105" s="13" t="s">
        <v>34</v>
      </c>
      <c r="N105" s="13" t="s">
        <v>31</v>
      </c>
      <c r="O105" s="13" t="s">
        <v>43</v>
      </c>
      <c r="P105" s="13" t="s">
        <v>31</v>
      </c>
      <c r="Q105" s="13" t="s">
        <v>43</v>
      </c>
      <c r="R105" s="13" t="s">
        <v>32</v>
      </c>
      <c r="S105" s="13" t="s">
        <v>32</v>
      </c>
      <c r="T105" s="13" t="s">
        <v>32</v>
      </c>
      <c r="U105" s="13" t="s">
        <v>32</v>
      </c>
      <c r="V105" s="13" t="s">
        <v>32</v>
      </c>
      <c r="W105" s="13" t="s">
        <v>34</v>
      </c>
      <c r="X105" s="13" t="s">
        <v>34</v>
      </c>
      <c r="Y105" s="13" t="s">
        <v>43</v>
      </c>
      <c r="Z105" s="14"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4A219-E113-4AE8-BB01-8A24FA9A7FF5}">
  <dimension ref="A1:AC105"/>
  <sheetViews>
    <sheetView workbookViewId="0">
      <selection sqref="A1:XFD1048576"/>
    </sheetView>
  </sheetViews>
  <sheetFormatPr defaultRowHeight="14.4" x14ac:dyDescent="0.3"/>
  <cols>
    <col min="10" max="10" width="11" customWidth="1"/>
    <col min="11" max="11" width="21.77734375" customWidth="1"/>
    <col min="12" max="12" width="10.6640625" customWidth="1"/>
    <col min="17" max="17" width="22" customWidth="1"/>
    <col min="23" max="23" width="21.6640625" customWidth="1"/>
    <col min="29" max="29" width="30.5546875" customWidth="1"/>
  </cols>
  <sheetData>
    <row r="1" spans="1:29" ht="172.2" thickBot="1" x14ac:dyDescent="0.35">
      <c r="A1" s="2" t="s">
        <v>1</v>
      </c>
      <c r="B1" s="2" t="s">
        <v>2</v>
      </c>
      <c r="C1" s="2" t="s">
        <v>3</v>
      </c>
      <c r="D1" s="2" t="s">
        <v>4</v>
      </c>
      <c r="E1" s="2" t="s">
        <v>5</v>
      </c>
      <c r="F1" s="2" t="s">
        <v>6</v>
      </c>
      <c r="G1" s="2" t="s">
        <v>7</v>
      </c>
      <c r="H1" s="2" t="s">
        <v>8</v>
      </c>
      <c r="I1" s="2" t="s">
        <v>9</v>
      </c>
      <c r="J1" s="2" t="s">
        <v>10</v>
      </c>
      <c r="K1" s="15" t="s">
        <v>132</v>
      </c>
      <c r="L1" s="2" t="s">
        <v>11</v>
      </c>
      <c r="M1" s="2" t="s">
        <v>12</v>
      </c>
      <c r="N1" s="2" t="s">
        <v>13</v>
      </c>
      <c r="O1" s="2" t="s">
        <v>14</v>
      </c>
      <c r="P1" s="2" t="s">
        <v>15</v>
      </c>
      <c r="Q1" s="16" t="s">
        <v>133</v>
      </c>
      <c r="R1" s="2" t="s">
        <v>16</v>
      </c>
      <c r="S1" s="2" t="s">
        <v>17</v>
      </c>
      <c r="T1" s="2" t="s">
        <v>18</v>
      </c>
      <c r="U1" s="2" t="s">
        <v>19</v>
      </c>
      <c r="V1" s="2" t="s">
        <v>20</v>
      </c>
      <c r="W1" s="17" t="s">
        <v>134</v>
      </c>
      <c r="X1" s="2" t="s">
        <v>21</v>
      </c>
      <c r="Y1" s="2" t="s">
        <v>22</v>
      </c>
      <c r="Z1" s="2" t="s">
        <v>23</v>
      </c>
      <c r="AA1" s="2" t="s">
        <v>24</v>
      </c>
      <c r="AB1" s="3" t="s">
        <v>25</v>
      </c>
      <c r="AC1" s="18" t="s">
        <v>135</v>
      </c>
    </row>
    <row r="2" spans="1:29" ht="15" thickBot="1" x14ac:dyDescent="0.35">
      <c r="A2" s="5">
        <v>2</v>
      </c>
      <c r="B2" s="5" t="s">
        <v>149</v>
      </c>
      <c r="C2" s="5">
        <v>1</v>
      </c>
      <c r="D2" s="5">
        <v>3</v>
      </c>
      <c r="E2" s="5">
        <v>1</v>
      </c>
      <c r="F2" s="5">
        <v>4</v>
      </c>
      <c r="G2" s="5">
        <v>3</v>
      </c>
      <c r="H2" s="5">
        <v>3</v>
      </c>
      <c r="I2" s="5">
        <v>4</v>
      </c>
      <c r="J2" s="5">
        <v>3</v>
      </c>
      <c r="K2" s="19">
        <f>AVERAGE(F2:J2)</f>
        <v>3.4</v>
      </c>
      <c r="L2" s="5">
        <v>5</v>
      </c>
      <c r="M2" s="5">
        <v>5</v>
      </c>
      <c r="N2" s="5">
        <v>4</v>
      </c>
      <c r="O2" s="5">
        <v>4</v>
      </c>
      <c r="P2" s="5">
        <v>4</v>
      </c>
      <c r="Q2" s="19">
        <f>AVERAGE(L2:P2)</f>
        <v>4.4000000000000004</v>
      </c>
      <c r="R2" s="5">
        <v>5</v>
      </c>
      <c r="S2" s="5">
        <v>4</v>
      </c>
      <c r="T2" s="5">
        <v>4</v>
      </c>
      <c r="U2" s="5">
        <v>3</v>
      </c>
      <c r="V2" s="5">
        <v>3</v>
      </c>
      <c r="W2" s="19">
        <f>AVERAGE(R2:V2)</f>
        <v>3.8</v>
      </c>
      <c r="X2" s="5">
        <v>4</v>
      </c>
      <c r="Y2" s="5">
        <v>3</v>
      </c>
      <c r="Z2" s="5">
        <v>5</v>
      </c>
      <c r="AA2" s="5">
        <v>3</v>
      </c>
      <c r="AB2" s="6">
        <v>2</v>
      </c>
      <c r="AC2" s="20">
        <f>AVERAGE(X2:AB2)</f>
        <v>3.4</v>
      </c>
    </row>
    <row r="3" spans="1:29" ht="15" thickBot="1" x14ac:dyDescent="0.35">
      <c r="A3" s="8">
        <v>2</v>
      </c>
      <c r="B3" s="8" t="s">
        <v>148</v>
      </c>
      <c r="C3" s="8">
        <v>2</v>
      </c>
      <c r="D3" s="8">
        <v>3</v>
      </c>
      <c r="E3" s="8">
        <v>1</v>
      </c>
      <c r="F3" s="8">
        <v>3</v>
      </c>
      <c r="G3" s="8">
        <v>3</v>
      </c>
      <c r="H3" s="8">
        <v>3</v>
      </c>
      <c r="I3" s="8">
        <v>3</v>
      </c>
      <c r="J3" s="8">
        <v>3</v>
      </c>
      <c r="K3" s="19">
        <f t="shared" ref="K3:K66" si="0">AVERAGE(F3:J3)</f>
        <v>3</v>
      </c>
      <c r="L3" s="8">
        <v>3</v>
      </c>
      <c r="M3" s="8">
        <v>3</v>
      </c>
      <c r="N3" s="8">
        <v>3</v>
      </c>
      <c r="O3" s="8">
        <v>3</v>
      </c>
      <c r="P3" s="8">
        <v>3</v>
      </c>
      <c r="Q3" s="19">
        <f t="shared" ref="Q3:Q66" si="1">AVERAGE(L3:P3)</f>
        <v>3</v>
      </c>
      <c r="R3" s="8">
        <v>3</v>
      </c>
      <c r="S3" s="8">
        <v>3</v>
      </c>
      <c r="T3" s="8">
        <v>3</v>
      </c>
      <c r="U3" s="8">
        <v>3</v>
      </c>
      <c r="V3" s="8">
        <v>3</v>
      </c>
      <c r="W3" s="19">
        <f t="shared" ref="W3:W66" si="2">AVERAGE(R3:V3)</f>
        <v>3</v>
      </c>
      <c r="X3" s="8">
        <v>3</v>
      </c>
      <c r="Y3" s="8">
        <v>3</v>
      </c>
      <c r="Z3" s="8">
        <v>3</v>
      </c>
      <c r="AA3" s="8">
        <v>3</v>
      </c>
      <c r="AB3" s="9">
        <v>3</v>
      </c>
      <c r="AC3" s="20">
        <f t="shared" ref="AC3:AC66" si="3">AVERAGE(X3:AB3)</f>
        <v>3</v>
      </c>
    </row>
    <row r="4" spans="1:29" ht="15" thickBot="1" x14ac:dyDescent="0.35">
      <c r="A4" s="5">
        <v>1</v>
      </c>
      <c r="B4" s="5" t="s">
        <v>149</v>
      </c>
      <c r="C4" s="5">
        <v>1</v>
      </c>
      <c r="D4" s="5">
        <v>3</v>
      </c>
      <c r="E4" s="5">
        <v>1</v>
      </c>
      <c r="F4" s="5">
        <v>4</v>
      </c>
      <c r="G4" s="5">
        <v>4</v>
      </c>
      <c r="H4" s="5">
        <v>4</v>
      </c>
      <c r="I4" s="5">
        <v>4</v>
      </c>
      <c r="J4" s="5">
        <v>4</v>
      </c>
      <c r="K4" s="19">
        <f t="shared" si="0"/>
        <v>4</v>
      </c>
      <c r="L4" s="5">
        <v>4</v>
      </c>
      <c r="M4" s="5">
        <v>4</v>
      </c>
      <c r="N4" s="5">
        <v>4</v>
      </c>
      <c r="O4" s="5">
        <v>5</v>
      </c>
      <c r="P4" s="5">
        <v>4</v>
      </c>
      <c r="Q4" s="19">
        <f t="shared" si="1"/>
        <v>4.2</v>
      </c>
      <c r="R4" s="5">
        <v>4</v>
      </c>
      <c r="S4" s="5">
        <v>5</v>
      </c>
      <c r="T4" s="5">
        <v>3</v>
      </c>
      <c r="U4" s="5">
        <v>3</v>
      </c>
      <c r="V4" s="5">
        <v>3</v>
      </c>
      <c r="W4" s="19">
        <f t="shared" si="2"/>
        <v>3.6</v>
      </c>
      <c r="X4" s="5">
        <v>4</v>
      </c>
      <c r="Y4" s="5">
        <v>4</v>
      </c>
      <c r="Z4" s="5">
        <v>4</v>
      </c>
      <c r="AA4" s="5">
        <v>4</v>
      </c>
      <c r="AB4" s="6">
        <v>4</v>
      </c>
      <c r="AC4" s="20">
        <f t="shared" si="3"/>
        <v>4</v>
      </c>
    </row>
    <row r="5" spans="1:29" ht="15" thickBot="1" x14ac:dyDescent="0.35">
      <c r="A5" s="8">
        <v>2</v>
      </c>
      <c r="B5" s="8" t="s">
        <v>149</v>
      </c>
      <c r="C5" s="8">
        <v>1</v>
      </c>
      <c r="D5" s="8">
        <v>3</v>
      </c>
      <c r="E5" s="8">
        <v>1</v>
      </c>
      <c r="F5" s="8">
        <v>5</v>
      </c>
      <c r="G5" s="8">
        <v>4</v>
      </c>
      <c r="H5" s="8">
        <v>4</v>
      </c>
      <c r="I5" s="8">
        <v>4</v>
      </c>
      <c r="J5" s="8">
        <v>4</v>
      </c>
      <c r="K5" s="19">
        <f t="shared" si="0"/>
        <v>4.2</v>
      </c>
      <c r="L5" s="8">
        <v>5</v>
      </c>
      <c r="M5" s="8">
        <v>5</v>
      </c>
      <c r="N5" s="8">
        <v>5</v>
      </c>
      <c r="O5" s="8">
        <v>4</v>
      </c>
      <c r="P5" s="8">
        <v>5</v>
      </c>
      <c r="Q5" s="19">
        <f t="shared" si="1"/>
        <v>4.8</v>
      </c>
      <c r="R5" s="8">
        <v>4</v>
      </c>
      <c r="S5" s="8">
        <v>4</v>
      </c>
      <c r="T5" s="8">
        <v>4</v>
      </c>
      <c r="U5" s="8">
        <v>4</v>
      </c>
      <c r="V5" s="8">
        <v>4</v>
      </c>
      <c r="W5" s="19">
        <f t="shared" si="2"/>
        <v>4</v>
      </c>
      <c r="X5" s="8">
        <v>5</v>
      </c>
      <c r="Y5" s="8">
        <v>5</v>
      </c>
      <c r="Z5" s="8">
        <v>5</v>
      </c>
      <c r="AA5" s="8">
        <v>4</v>
      </c>
      <c r="AB5" s="9">
        <v>4</v>
      </c>
      <c r="AC5" s="20">
        <f t="shared" si="3"/>
        <v>4.5999999999999996</v>
      </c>
    </row>
    <row r="6" spans="1:29" ht="15" thickBot="1" x14ac:dyDescent="0.35">
      <c r="A6" s="5">
        <v>2</v>
      </c>
      <c r="B6" s="5" t="s">
        <v>149</v>
      </c>
      <c r="C6" s="5">
        <v>1</v>
      </c>
      <c r="D6" s="5">
        <v>2</v>
      </c>
      <c r="E6" s="5">
        <v>2</v>
      </c>
      <c r="F6" s="5">
        <v>3</v>
      </c>
      <c r="G6" s="5">
        <v>3</v>
      </c>
      <c r="H6" s="5">
        <v>4</v>
      </c>
      <c r="I6" s="5">
        <v>3</v>
      </c>
      <c r="J6" s="5">
        <v>3</v>
      </c>
      <c r="K6" s="19">
        <f t="shared" si="0"/>
        <v>3.2</v>
      </c>
      <c r="L6" s="5">
        <v>4</v>
      </c>
      <c r="M6" s="5">
        <v>4</v>
      </c>
      <c r="N6" s="5">
        <v>4</v>
      </c>
      <c r="O6" s="5">
        <v>4</v>
      </c>
      <c r="P6" s="5">
        <v>4</v>
      </c>
      <c r="Q6" s="19">
        <f t="shared" si="1"/>
        <v>4</v>
      </c>
      <c r="R6" s="5">
        <v>4</v>
      </c>
      <c r="S6" s="5">
        <v>4</v>
      </c>
      <c r="T6" s="5">
        <v>4</v>
      </c>
      <c r="U6" s="5">
        <v>4</v>
      </c>
      <c r="V6" s="5">
        <v>2</v>
      </c>
      <c r="W6" s="19">
        <f t="shared" si="2"/>
        <v>3.6</v>
      </c>
      <c r="X6" s="5">
        <v>4</v>
      </c>
      <c r="Y6" s="5">
        <v>2</v>
      </c>
      <c r="Z6" s="5">
        <v>3</v>
      </c>
      <c r="AA6" s="5">
        <v>2</v>
      </c>
      <c r="AB6" s="6">
        <v>2</v>
      </c>
      <c r="AC6" s="20">
        <f t="shared" si="3"/>
        <v>2.6</v>
      </c>
    </row>
    <row r="7" spans="1:29" ht="15" thickBot="1" x14ac:dyDescent="0.35">
      <c r="A7" s="8">
        <v>2</v>
      </c>
      <c r="B7" s="8" t="s">
        <v>149</v>
      </c>
      <c r="C7" s="8">
        <v>1</v>
      </c>
      <c r="D7" s="8">
        <v>4</v>
      </c>
      <c r="E7" s="8">
        <v>5</v>
      </c>
      <c r="F7" s="8">
        <v>4</v>
      </c>
      <c r="G7" s="8">
        <v>4</v>
      </c>
      <c r="H7" s="8">
        <v>4</v>
      </c>
      <c r="I7" s="8">
        <v>4</v>
      </c>
      <c r="J7" s="8">
        <v>4</v>
      </c>
      <c r="K7" s="19">
        <f t="shared" si="0"/>
        <v>4</v>
      </c>
      <c r="L7" s="8">
        <v>5</v>
      </c>
      <c r="M7" s="8">
        <v>5</v>
      </c>
      <c r="N7" s="8">
        <v>5</v>
      </c>
      <c r="O7" s="8">
        <v>5</v>
      </c>
      <c r="P7" s="8">
        <v>5</v>
      </c>
      <c r="Q7" s="19">
        <f t="shared" si="1"/>
        <v>5</v>
      </c>
      <c r="R7" s="8">
        <v>5</v>
      </c>
      <c r="S7" s="8">
        <v>5</v>
      </c>
      <c r="T7" s="8">
        <v>5</v>
      </c>
      <c r="U7" s="8">
        <v>5</v>
      </c>
      <c r="V7" s="8">
        <v>5</v>
      </c>
      <c r="W7" s="19">
        <f t="shared" si="2"/>
        <v>5</v>
      </c>
      <c r="X7" s="8">
        <v>5</v>
      </c>
      <c r="Y7" s="8">
        <v>5</v>
      </c>
      <c r="Z7" s="8">
        <v>5</v>
      </c>
      <c r="AA7" s="8">
        <v>5</v>
      </c>
      <c r="AB7" s="9">
        <v>5</v>
      </c>
      <c r="AC7" s="20">
        <f t="shared" si="3"/>
        <v>5</v>
      </c>
    </row>
    <row r="8" spans="1:29" ht="15" thickBot="1" x14ac:dyDescent="0.35">
      <c r="A8" s="5">
        <v>2</v>
      </c>
      <c r="B8" s="5" t="s">
        <v>149</v>
      </c>
      <c r="C8" s="5">
        <v>2</v>
      </c>
      <c r="D8" s="5">
        <v>2</v>
      </c>
      <c r="E8" s="5">
        <v>2</v>
      </c>
      <c r="F8" s="5">
        <v>4</v>
      </c>
      <c r="G8" s="5">
        <v>3</v>
      </c>
      <c r="H8" s="5">
        <v>4</v>
      </c>
      <c r="I8" s="5">
        <v>4</v>
      </c>
      <c r="J8" s="5">
        <v>5</v>
      </c>
      <c r="K8" s="19">
        <f t="shared" si="0"/>
        <v>4</v>
      </c>
      <c r="L8" s="5">
        <v>5</v>
      </c>
      <c r="M8" s="5">
        <v>5</v>
      </c>
      <c r="N8" s="5">
        <v>5</v>
      </c>
      <c r="O8" s="5">
        <v>5</v>
      </c>
      <c r="P8" s="5">
        <v>5</v>
      </c>
      <c r="Q8" s="19">
        <f t="shared" si="1"/>
        <v>5</v>
      </c>
      <c r="R8" s="5">
        <v>5</v>
      </c>
      <c r="S8" s="5">
        <v>5</v>
      </c>
      <c r="T8" s="5">
        <v>5</v>
      </c>
      <c r="U8" s="5">
        <v>5</v>
      </c>
      <c r="V8" s="5">
        <v>4</v>
      </c>
      <c r="W8" s="19">
        <f t="shared" si="2"/>
        <v>4.8</v>
      </c>
      <c r="X8" s="5">
        <v>4</v>
      </c>
      <c r="Y8" s="5">
        <v>4</v>
      </c>
      <c r="Z8" s="5">
        <v>5</v>
      </c>
      <c r="AA8" s="5">
        <v>3</v>
      </c>
      <c r="AB8" s="6">
        <v>4</v>
      </c>
      <c r="AC8" s="20">
        <f t="shared" si="3"/>
        <v>4</v>
      </c>
    </row>
    <row r="9" spans="1:29" ht="15" thickBot="1" x14ac:dyDescent="0.35">
      <c r="A9" s="8">
        <v>2</v>
      </c>
      <c r="B9" s="8" t="s">
        <v>149</v>
      </c>
      <c r="C9" s="8">
        <v>2</v>
      </c>
      <c r="D9" s="8">
        <v>1</v>
      </c>
      <c r="E9" s="8">
        <v>1</v>
      </c>
      <c r="F9" s="8">
        <v>4</v>
      </c>
      <c r="G9" s="8">
        <v>3</v>
      </c>
      <c r="H9" s="8">
        <v>4</v>
      </c>
      <c r="I9" s="8">
        <v>3</v>
      </c>
      <c r="J9" s="8">
        <v>4</v>
      </c>
      <c r="K9" s="19">
        <f t="shared" si="0"/>
        <v>3.6</v>
      </c>
      <c r="L9" s="8">
        <v>4</v>
      </c>
      <c r="M9" s="8">
        <v>4</v>
      </c>
      <c r="N9" s="8">
        <v>4</v>
      </c>
      <c r="O9" s="8">
        <v>4</v>
      </c>
      <c r="P9" s="8">
        <v>4</v>
      </c>
      <c r="Q9" s="19">
        <f t="shared" si="1"/>
        <v>4</v>
      </c>
      <c r="R9" s="8">
        <v>4</v>
      </c>
      <c r="S9" s="8">
        <v>4</v>
      </c>
      <c r="T9" s="8">
        <v>4</v>
      </c>
      <c r="U9" s="8">
        <v>4</v>
      </c>
      <c r="V9" s="8">
        <v>4</v>
      </c>
      <c r="W9" s="19">
        <f t="shared" si="2"/>
        <v>4</v>
      </c>
      <c r="X9" s="8">
        <v>4</v>
      </c>
      <c r="Y9" s="8">
        <v>4</v>
      </c>
      <c r="Z9" s="8">
        <v>4</v>
      </c>
      <c r="AA9" s="8">
        <v>3</v>
      </c>
      <c r="AB9" s="9">
        <v>2</v>
      </c>
      <c r="AC9" s="20">
        <f t="shared" si="3"/>
        <v>3.4</v>
      </c>
    </row>
    <row r="10" spans="1:29" ht="15" thickBot="1" x14ac:dyDescent="0.35">
      <c r="A10" s="5">
        <v>2</v>
      </c>
      <c r="B10" s="5" t="s">
        <v>148</v>
      </c>
      <c r="C10" s="5">
        <v>2</v>
      </c>
      <c r="D10" s="5">
        <v>2</v>
      </c>
      <c r="E10" s="5">
        <v>2</v>
      </c>
      <c r="F10" s="5">
        <v>4</v>
      </c>
      <c r="G10" s="5">
        <v>4</v>
      </c>
      <c r="H10" s="5">
        <v>4</v>
      </c>
      <c r="I10" s="5">
        <v>5</v>
      </c>
      <c r="J10" s="5">
        <v>4</v>
      </c>
      <c r="K10" s="19">
        <f t="shared" si="0"/>
        <v>4.2</v>
      </c>
      <c r="L10" s="5">
        <v>4</v>
      </c>
      <c r="M10" s="5">
        <v>4</v>
      </c>
      <c r="N10" s="5">
        <v>5</v>
      </c>
      <c r="O10" s="5">
        <v>4</v>
      </c>
      <c r="P10" s="5">
        <v>4</v>
      </c>
      <c r="Q10" s="19">
        <f t="shared" si="1"/>
        <v>4.2</v>
      </c>
      <c r="R10" s="5">
        <v>4</v>
      </c>
      <c r="S10" s="5">
        <v>4</v>
      </c>
      <c r="T10" s="5">
        <v>3</v>
      </c>
      <c r="U10" s="5">
        <v>4</v>
      </c>
      <c r="V10" s="5">
        <v>3</v>
      </c>
      <c r="W10" s="19">
        <f t="shared" si="2"/>
        <v>3.6</v>
      </c>
      <c r="X10" s="5">
        <v>4</v>
      </c>
      <c r="Y10" s="5">
        <v>3</v>
      </c>
      <c r="Z10" s="5">
        <v>4</v>
      </c>
      <c r="AA10" s="5">
        <v>3</v>
      </c>
      <c r="AB10" s="6">
        <v>4</v>
      </c>
      <c r="AC10" s="20">
        <f t="shared" si="3"/>
        <v>3.6</v>
      </c>
    </row>
    <row r="11" spans="1:29" ht="15" thickBot="1" x14ac:dyDescent="0.35">
      <c r="A11" s="8">
        <v>2</v>
      </c>
      <c r="B11" s="8" t="s">
        <v>149</v>
      </c>
      <c r="C11" s="8">
        <v>2</v>
      </c>
      <c r="D11" s="8">
        <v>1</v>
      </c>
      <c r="E11" s="8">
        <v>1</v>
      </c>
      <c r="F11" s="8">
        <v>3</v>
      </c>
      <c r="G11" s="8">
        <v>3</v>
      </c>
      <c r="H11" s="8">
        <v>3</v>
      </c>
      <c r="I11" s="8">
        <v>3</v>
      </c>
      <c r="J11" s="8">
        <v>3</v>
      </c>
      <c r="K11" s="19">
        <f t="shared" si="0"/>
        <v>3</v>
      </c>
      <c r="L11" s="8">
        <v>3</v>
      </c>
      <c r="M11" s="8">
        <v>2</v>
      </c>
      <c r="N11" s="8">
        <v>3</v>
      </c>
      <c r="O11" s="8">
        <v>3</v>
      </c>
      <c r="P11" s="8">
        <v>3</v>
      </c>
      <c r="Q11" s="19">
        <f t="shared" si="1"/>
        <v>2.8</v>
      </c>
      <c r="R11" s="8">
        <v>3</v>
      </c>
      <c r="S11" s="8">
        <v>3</v>
      </c>
      <c r="T11" s="8">
        <v>3</v>
      </c>
      <c r="U11" s="8">
        <v>3</v>
      </c>
      <c r="V11" s="8">
        <v>3</v>
      </c>
      <c r="W11" s="19">
        <f t="shared" si="2"/>
        <v>3</v>
      </c>
      <c r="X11" s="8">
        <v>3</v>
      </c>
      <c r="Y11" s="8">
        <v>3</v>
      </c>
      <c r="Z11" s="8">
        <v>4</v>
      </c>
      <c r="AA11" s="8">
        <v>1</v>
      </c>
      <c r="AB11" s="9">
        <v>1</v>
      </c>
      <c r="AC11" s="20">
        <f t="shared" si="3"/>
        <v>2.4</v>
      </c>
    </row>
    <row r="12" spans="1:29" ht="15" thickBot="1" x14ac:dyDescent="0.35">
      <c r="A12" s="5">
        <v>2</v>
      </c>
      <c r="B12" s="5" t="s">
        <v>149</v>
      </c>
      <c r="C12" s="5">
        <v>1</v>
      </c>
      <c r="D12" s="5">
        <v>3</v>
      </c>
      <c r="E12" s="5">
        <v>1</v>
      </c>
      <c r="F12" s="5">
        <v>4</v>
      </c>
      <c r="G12" s="5">
        <v>4</v>
      </c>
      <c r="H12" s="5">
        <v>4</v>
      </c>
      <c r="I12" s="5">
        <v>4</v>
      </c>
      <c r="J12" s="5">
        <v>3</v>
      </c>
      <c r="K12" s="19">
        <f t="shared" si="0"/>
        <v>3.8</v>
      </c>
      <c r="L12" s="5">
        <v>4</v>
      </c>
      <c r="M12" s="5">
        <v>5</v>
      </c>
      <c r="N12" s="5">
        <v>5</v>
      </c>
      <c r="O12" s="5">
        <v>5</v>
      </c>
      <c r="P12" s="5">
        <v>4</v>
      </c>
      <c r="Q12" s="19">
        <f t="shared" si="1"/>
        <v>4.5999999999999996</v>
      </c>
      <c r="R12" s="5">
        <v>4</v>
      </c>
      <c r="S12" s="5">
        <v>4</v>
      </c>
      <c r="T12" s="5">
        <v>4</v>
      </c>
      <c r="U12" s="5">
        <v>4</v>
      </c>
      <c r="V12" s="5">
        <v>4</v>
      </c>
      <c r="W12" s="19">
        <f t="shared" si="2"/>
        <v>4</v>
      </c>
      <c r="X12" s="5">
        <v>4</v>
      </c>
      <c r="Y12" s="5">
        <v>4</v>
      </c>
      <c r="Z12" s="5">
        <v>4</v>
      </c>
      <c r="AA12" s="5">
        <v>5</v>
      </c>
      <c r="AB12" s="6">
        <v>4</v>
      </c>
      <c r="AC12" s="20">
        <f t="shared" si="3"/>
        <v>4.2</v>
      </c>
    </row>
    <row r="13" spans="1:29" ht="15" thickBot="1" x14ac:dyDescent="0.35">
      <c r="A13" s="8">
        <v>2</v>
      </c>
      <c r="B13" s="8" t="s">
        <v>148</v>
      </c>
      <c r="C13" s="8">
        <v>2</v>
      </c>
      <c r="D13" s="8">
        <v>1</v>
      </c>
      <c r="E13" s="8">
        <v>1</v>
      </c>
      <c r="F13" s="8">
        <v>3</v>
      </c>
      <c r="G13" s="8">
        <v>4</v>
      </c>
      <c r="H13" s="8">
        <v>4</v>
      </c>
      <c r="I13" s="8">
        <v>4</v>
      </c>
      <c r="J13" s="8">
        <v>5</v>
      </c>
      <c r="K13" s="19">
        <f t="shared" si="0"/>
        <v>4</v>
      </c>
      <c r="L13" s="8">
        <v>4</v>
      </c>
      <c r="M13" s="8">
        <v>4</v>
      </c>
      <c r="N13" s="8">
        <v>4</v>
      </c>
      <c r="O13" s="8">
        <v>4</v>
      </c>
      <c r="P13" s="8">
        <v>4</v>
      </c>
      <c r="Q13" s="19">
        <f t="shared" si="1"/>
        <v>4</v>
      </c>
      <c r="R13" s="8">
        <v>4</v>
      </c>
      <c r="S13" s="8">
        <v>4</v>
      </c>
      <c r="T13" s="8">
        <v>4</v>
      </c>
      <c r="U13" s="8">
        <v>4</v>
      </c>
      <c r="V13" s="8">
        <v>4</v>
      </c>
      <c r="W13" s="19">
        <f t="shared" si="2"/>
        <v>4</v>
      </c>
      <c r="X13" s="8">
        <v>4</v>
      </c>
      <c r="Y13" s="8">
        <v>4</v>
      </c>
      <c r="Z13" s="8">
        <v>5</v>
      </c>
      <c r="AA13" s="8">
        <v>5</v>
      </c>
      <c r="AB13" s="9">
        <v>3</v>
      </c>
      <c r="AC13" s="20">
        <f t="shared" si="3"/>
        <v>4.2</v>
      </c>
    </row>
    <row r="14" spans="1:29" ht="15" thickBot="1" x14ac:dyDescent="0.35">
      <c r="A14" s="5">
        <v>2</v>
      </c>
      <c r="B14" s="5" t="s">
        <v>148</v>
      </c>
      <c r="C14" s="5">
        <v>2</v>
      </c>
      <c r="D14" s="5">
        <v>1</v>
      </c>
      <c r="E14" s="5">
        <v>1</v>
      </c>
      <c r="F14" s="5">
        <v>3</v>
      </c>
      <c r="G14" s="5">
        <v>3</v>
      </c>
      <c r="H14" s="5">
        <v>3</v>
      </c>
      <c r="I14" s="5">
        <v>3</v>
      </c>
      <c r="J14" s="5">
        <v>3</v>
      </c>
      <c r="K14" s="19">
        <f t="shared" si="0"/>
        <v>3</v>
      </c>
      <c r="L14" s="5">
        <v>3</v>
      </c>
      <c r="M14" s="5">
        <v>3</v>
      </c>
      <c r="N14" s="5">
        <v>3</v>
      </c>
      <c r="O14" s="5">
        <v>3</v>
      </c>
      <c r="P14" s="5">
        <v>3</v>
      </c>
      <c r="Q14" s="19">
        <f t="shared" si="1"/>
        <v>3</v>
      </c>
      <c r="R14" s="5">
        <v>3</v>
      </c>
      <c r="S14" s="5">
        <v>3</v>
      </c>
      <c r="T14" s="5">
        <v>3</v>
      </c>
      <c r="U14" s="5">
        <v>3</v>
      </c>
      <c r="V14" s="5">
        <v>3</v>
      </c>
      <c r="W14" s="19">
        <f t="shared" si="2"/>
        <v>3</v>
      </c>
      <c r="X14" s="5">
        <v>3</v>
      </c>
      <c r="Y14" s="5">
        <v>3</v>
      </c>
      <c r="Z14" s="5">
        <v>3</v>
      </c>
      <c r="AA14" s="5">
        <v>3</v>
      </c>
      <c r="AB14" s="6">
        <v>3</v>
      </c>
      <c r="AC14" s="20">
        <f t="shared" si="3"/>
        <v>3</v>
      </c>
    </row>
    <row r="15" spans="1:29" ht="15" thickBot="1" x14ac:dyDescent="0.35">
      <c r="A15" s="8">
        <v>2</v>
      </c>
      <c r="B15" s="8" t="s">
        <v>149</v>
      </c>
      <c r="C15" s="8">
        <v>2</v>
      </c>
      <c r="D15" s="8">
        <v>2</v>
      </c>
      <c r="E15" s="8">
        <v>2</v>
      </c>
      <c r="F15" s="8">
        <v>4</v>
      </c>
      <c r="G15" s="8">
        <v>4</v>
      </c>
      <c r="H15" s="8">
        <v>4</v>
      </c>
      <c r="I15" s="8">
        <v>3</v>
      </c>
      <c r="J15" s="8">
        <v>3</v>
      </c>
      <c r="K15" s="19">
        <f t="shared" si="0"/>
        <v>3.6</v>
      </c>
      <c r="L15" s="8">
        <v>4</v>
      </c>
      <c r="M15" s="8">
        <v>4</v>
      </c>
      <c r="N15" s="8">
        <v>4</v>
      </c>
      <c r="O15" s="8">
        <v>4</v>
      </c>
      <c r="P15" s="8">
        <v>4</v>
      </c>
      <c r="Q15" s="19">
        <f t="shared" si="1"/>
        <v>4</v>
      </c>
      <c r="R15" s="8">
        <v>4</v>
      </c>
      <c r="S15" s="8">
        <v>4</v>
      </c>
      <c r="T15" s="8">
        <v>4</v>
      </c>
      <c r="U15" s="8">
        <v>4</v>
      </c>
      <c r="V15" s="8">
        <v>4</v>
      </c>
      <c r="W15" s="19">
        <f t="shared" si="2"/>
        <v>4</v>
      </c>
      <c r="X15" s="8">
        <v>4</v>
      </c>
      <c r="Y15" s="8">
        <v>4</v>
      </c>
      <c r="Z15" s="8">
        <v>4</v>
      </c>
      <c r="AA15" s="8">
        <v>4</v>
      </c>
      <c r="AB15" s="9">
        <v>4</v>
      </c>
      <c r="AC15" s="20">
        <f t="shared" si="3"/>
        <v>4</v>
      </c>
    </row>
    <row r="16" spans="1:29" ht="15" thickBot="1" x14ac:dyDescent="0.35">
      <c r="A16" s="5">
        <v>2</v>
      </c>
      <c r="B16" s="5" t="s">
        <v>148</v>
      </c>
      <c r="C16" s="5">
        <v>3</v>
      </c>
      <c r="D16" s="5">
        <v>2</v>
      </c>
      <c r="E16" s="5">
        <v>4</v>
      </c>
      <c r="F16" s="5">
        <v>4</v>
      </c>
      <c r="G16" s="5">
        <v>5</v>
      </c>
      <c r="H16" s="5">
        <v>5</v>
      </c>
      <c r="I16" s="5">
        <v>4</v>
      </c>
      <c r="J16" s="5">
        <v>4</v>
      </c>
      <c r="K16" s="19">
        <f t="shared" si="0"/>
        <v>4.4000000000000004</v>
      </c>
      <c r="L16" s="5">
        <v>5</v>
      </c>
      <c r="M16" s="5">
        <v>4</v>
      </c>
      <c r="N16" s="5">
        <v>4</v>
      </c>
      <c r="O16" s="5">
        <v>5</v>
      </c>
      <c r="P16" s="5">
        <v>5</v>
      </c>
      <c r="Q16" s="19">
        <f t="shared" si="1"/>
        <v>4.5999999999999996</v>
      </c>
      <c r="R16" s="5">
        <v>5</v>
      </c>
      <c r="S16" s="5">
        <v>4</v>
      </c>
      <c r="T16" s="5">
        <v>5</v>
      </c>
      <c r="U16" s="5">
        <v>3</v>
      </c>
      <c r="V16" s="5">
        <v>5</v>
      </c>
      <c r="W16" s="19">
        <f t="shared" si="2"/>
        <v>4.4000000000000004</v>
      </c>
      <c r="X16" s="5">
        <v>4</v>
      </c>
      <c r="Y16" s="5">
        <v>4</v>
      </c>
      <c r="Z16" s="5">
        <v>4</v>
      </c>
      <c r="AA16" s="5">
        <v>4</v>
      </c>
      <c r="AB16" s="6">
        <v>3</v>
      </c>
      <c r="AC16" s="20">
        <f t="shared" si="3"/>
        <v>3.8</v>
      </c>
    </row>
    <row r="17" spans="1:29" ht="15" thickBot="1" x14ac:dyDescent="0.35">
      <c r="A17" s="8">
        <v>2</v>
      </c>
      <c r="B17" s="8" t="s">
        <v>148</v>
      </c>
      <c r="C17" s="8">
        <v>2</v>
      </c>
      <c r="D17" s="8">
        <v>2</v>
      </c>
      <c r="E17" s="8">
        <v>3</v>
      </c>
      <c r="F17" s="8">
        <v>4</v>
      </c>
      <c r="G17" s="8">
        <v>4</v>
      </c>
      <c r="H17" s="8">
        <v>4</v>
      </c>
      <c r="I17" s="8">
        <v>4</v>
      </c>
      <c r="J17" s="8">
        <v>4</v>
      </c>
      <c r="K17" s="19">
        <f t="shared" si="0"/>
        <v>4</v>
      </c>
      <c r="L17" s="8">
        <v>4</v>
      </c>
      <c r="M17" s="8">
        <v>4</v>
      </c>
      <c r="N17" s="8">
        <v>4</v>
      </c>
      <c r="O17" s="8">
        <v>3</v>
      </c>
      <c r="P17" s="8">
        <v>3</v>
      </c>
      <c r="Q17" s="19">
        <f t="shared" si="1"/>
        <v>3.6</v>
      </c>
      <c r="R17" s="8">
        <v>4</v>
      </c>
      <c r="S17" s="8">
        <v>4</v>
      </c>
      <c r="T17" s="8">
        <v>5</v>
      </c>
      <c r="U17" s="8">
        <v>5</v>
      </c>
      <c r="V17" s="8">
        <v>4</v>
      </c>
      <c r="W17" s="19">
        <f t="shared" si="2"/>
        <v>4.4000000000000004</v>
      </c>
      <c r="X17" s="8">
        <v>3</v>
      </c>
      <c r="Y17" s="8">
        <v>5</v>
      </c>
      <c r="Z17" s="8">
        <v>4</v>
      </c>
      <c r="AA17" s="8">
        <v>3</v>
      </c>
      <c r="AB17" s="9">
        <v>2</v>
      </c>
      <c r="AC17" s="20">
        <f t="shared" si="3"/>
        <v>3.4</v>
      </c>
    </row>
    <row r="18" spans="1:29" ht="15" thickBot="1" x14ac:dyDescent="0.35">
      <c r="A18" s="5">
        <v>2</v>
      </c>
      <c r="B18" s="5" t="s">
        <v>149</v>
      </c>
      <c r="C18" s="5">
        <v>2</v>
      </c>
      <c r="D18" s="5">
        <v>1</v>
      </c>
      <c r="E18" s="5">
        <v>1</v>
      </c>
      <c r="F18" s="5">
        <v>5</v>
      </c>
      <c r="G18" s="5">
        <v>5</v>
      </c>
      <c r="H18" s="5">
        <v>5</v>
      </c>
      <c r="I18" s="5">
        <v>5</v>
      </c>
      <c r="J18" s="5">
        <v>5</v>
      </c>
      <c r="K18" s="19">
        <f t="shared" si="0"/>
        <v>5</v>
      </c>
      <c r="L18" s="5">
        <v>5</v>
      </c>
      <c r="M18" s="5">
        <v>5</v>
      </c>
      <c r="N18" s="5">
        <v>5</v>
      </c>
      <c r="O18" s="5">
        <v>5</v>
      </c>
      <c r="P18" s="5">
        <v>5</v>
      </c>
      <c r="Q18" s="19">
        <f t="shared" si="1"/>
        <v>5</v>
      </c>
      <c r="R18" s="5">
        <v>5</v>
      </c>
      <c r="S18" s="5">
        <v>5</v>
      </c>
      <c r="T18" s="5">
        <v>5</v>
      </c>
      <c r="U18" s="5">
        <v>5</v>
      </c>
      <c r="V18" s="5">
        <v>5</v>
      </c>
      <c r="W18" s="19">
        <f t="shared" si="2"/>
        <v>5</v>
      </c>
      <c r="X18" s="5">
        <v>5</v>
      </c>
      <c r="Y18" s="5">
        <v>5</v>
      </c>
      <c r="Z18" s="5">
        <v>5</v>
      </c>
      <c r="AA18" s="5">
        <v>5</v>
      </c>
      <c r="AB18" s="6">
        <v>5</v>
      </c>
      <c r="AC18" s="20">
        <f t="shared" si="3"/>
        <v>5</v>
      </c>
    </row>
    <row r="19" spans="1:29" ht="15" thickBot="1" x14ac:dyDescent="0.35">
      <c r="A19" s="8">
        <v>2</v>
      </c>
      <c r="B19" s="8" t="s">
        <v>148</v>
      </c>
      <c r="C19" s="8">
        <v>2</v>
      </c>
      <c r="D19" s="8">
        <v>2</v>
      </c>
      <c r="E19" s="8">
        <v>2</v>
      </c>
      <c r="F19" s="8">
        <v>4</v>
      </c>
      <c r="G19" s="8">
        <v>4</v>
      </c>
      <c r="H19" s="8">
        <v>3</v>
      </c>
      <c r="I19" s="8">
        <v>4</v>
      </c>
      <c r="J19" s="8">
        <v>4</v>
      </c>
      <c r="K19" s="19">
        <f t="shared" si="0"/>
        <v>3.8</v>
      </c>
      <c r="L19" s="8">
        <v>5</v>
      </c>
      <c r="M19" s="8">
        <v>4</v>
      </c>
      <c r="N19" s="8">
        <v>5</v>
      </c>
      <c r="O19" s="8">
        <v>4</v>
      </c>
      <c r="P19" s="8">
        <v>4</v>
      </c>
      <c r="Q19" s="19">
        <f t="shared" si="1"/>
        <v>4.4000000000000004</v>
      </c>
      <c r="R19" s="8">
        <v>3</v>
      </c>
      <c r="S19" s="8">
        <v>4</v>
      </c>
      <c r="T19" s="8">
        <v>4</v>
      </c>
      <c r="U19" s="8">
        <v>3</v>
      </c>
      <c r="V19" s="8">
        <v>4</v>
      </c>
      <c r="W19" s="19">
        <f t="shared" si="2"/>
        <v>3.6</v>
      </c>
      <c r="X19" s="8">
        <v>4</v>
      </c>
      <c r="Y19" s="8">
        <v>3</v>
      </c>
      <c r="Z19" s="8">
        <v>5</v>
      </c>
      <c r="AA19" s="8">
        <v>3</v>
      </c>
      <c r="AB19" s="9">
        <v>4</v>
      </c>
      <c r="AC19" s="20">
        <f t="shared" si="3"/>
        <v>3.8</v>
      </c>
    </row>
    <row r="20" spans="1:29" ht="15" thickBot="1" x14ac:dyDescent="0.35">
      <c r="A20" s="5">
        <v>1</v>
      </c>
      <c r="B20" s="5" t="s">
        <v>148</v>
      </c>
      <c r="C20" s="5">
        <v>1</v>
      </c>
      <c r="D20" s="5">
        <v>2</v>
      </c>
      <c r="E20" s="5">
        <v>4</v>
      </c>
      <c r="F20" s="5">
        <v>2</v>
      </c>
      <c r="G20" s="5">
        <v>2</v>
      </c>
      <c r="H20" s="5">
        <v>1</v>
      </c>
      <c r="I20" s="5">
        <v>1</v>
      </c>
      <c r="J20" s="5">
        <v>1</v>
      </c>
      <c r="K20" s="19">
        <f t="shared" si="0"/>
        <v>1.4</v>
      </c>
      <c r="L20" s="5">
        <v>3</v>
      </c>
      <c r="M20" s="5">
        <v>2</v>
      </c>
      <c r="N20" s="5">
        <v>2</v>
      </c>
      <c r="O20" s="5">
        <v>2</v>
      </c>
      <c r="P20" s="5">
        <v>2</v>
      </c>
      <c r="Q20" s="19">
        <f t="shared" si="1"/>
        <v>2.2000000000000002</v>
      </c>
      <c r="R20" s="5">
        <v>2</v>
      </c>
      <c r="S20" s="5">
        <v>4</v>
      </c>
      <c r="T20" s="5">
        <v>4</v>
      </c>
      <c r="U20" s="5">
        <v>4</v>
      </c>
      <c r="V20" s="5">
        <v>4</v>
      </c>
      <c r="W20" s="19">
        <f t="shared" si="2"/>
        <v>3.6</v>
      </c>
      <c r="X20" s="5">
        <v>4</v>
      </c>
      <c r="Y20" s="5">
        <v>3</v>
      </c>
      <c r="Z20" s="5">
        <v>2</v>
      </c>
      <c r="AA20" s="5">
        <v>3</v>
      </c>
      <c r="AB20" s="6">
        <v>3</v>
      </c>
      <c r="AC20" s="20">
        <f t="shared" si="3"/>
        <v>3</v>
      </c>
    </row>
    <row r="21" spans="1:29" ht="15" thickBot="1" x14ac:dyDescent="0.35">
      <c r="A21" s="8">
        <v>2</v>
      </c>
      <c r="B21" s="8" t="s">
        <v>149</v>
      </c>
      <c r="C21" s="8">
        <v>2</v>
      </c>
      <c r="D21" s="8">
        <v>2</v>
      </c>
      <c r="E21" s="8">
        <v>1</v>
      </c>
      <c r="F21" s="8">
        <v>4</v>
      </c>
      <c r="G21" s="8">
        <v>4</v>
      </c>
      <c r="H21" s="8">
        <v>4</v>
      </c>
      <c r="I21" s="8">
        <v>4</v>
      </c>
      <c r="J21" s="8">
        <v>4</v>
      </c>
      <c r="K21" s="19">
        <f t="shared" si="0"/>
        <v>4</v>
      </c>
      <c r="L21" s="8">
        <v>5</v>
      </c>
      <c r="M21" s="8">
        <v>5</v>
      </c>
      <c r="N21" s="8">
        <v>4</v>
      </c>
      <c r="O21" s="8">
        <v>5</v>
      </c>
      <c r="P21" s="8">
        <v>5</v>
      </c>
      <c r="Q21" s="19">
        <f t="shared" si="1"/>
        <v>4.8</v>
      </c>
      <c r="R21" s="8">
        <v>3</v>
      </c>
      <c r="S21" s="8">
        <v>3</v>
      </c>
      <c r="T21" s="8">
        <v>4</v>
      </c>
      <c r="U21" s="8">
        <v>4</v>
      </c>
      <c r="V21" s="8">
        <v>4</v>
      </c>
      <c r="W21" s="19">
        <f t="shared" si="2"/>
        <v>3.6</v>
      </c>
      <c r="X21" s="8">
        <v>5</v>
      </c>
      <c r="Y21" s="8">
        <v>4</v>
      </c>
      <c r="Z21" s="8">
        <v>5</v>
      </c>
      <c r="AA21" s="8">
        <v>4</v>
      </c>
      <c r="AB21" s="9">
        <v>4</v>
      </c>
      <c r="AC21" s="20">
        <f t="shared" si="3"/>
        <v>4.4000000000000004</v>
      </c>
    </row>
    <row r="22" spans="1:29" ht="15" thickBot="1" x14ac:dyDescent="0.35">
      <c r="A22" s="5">
        <v>2</v>
      </c>
      <c r="B22" s="5" t="s">
        <v>148</v>
      </c>
      <c r="C22" s="5">
        <v>2</v>
      </c>
      <c r="D22" s="5">
        <v>2</v>
      </c>
      <c r="E22" s="5">
        <v>4</v>
      </c>
      <c r="F22" s="5">
        <v>4</v>
      </c>
      <c r="G22" s="5">
        <v>3</v>
      </c>
      <c r="H22" s="5">
        <v>3</v>
      </c>
      <c r="I22" s="5">
        <v>3</v>
      </c>
      <c r="J22" s="5">
        <v>4</v>
      </c>
      <c r="K22" s="19">
        <f t="shared" si="0"/>
        <v>3.4</v>
      </c>
      <c r="L22" s="5">
        <v>3</v>
      </c>
      <c r="M22" s="5">
        <v>3</v>
      </c>
      <c r="N22" s="5">
        <v>3</v>
      </c>
      <c r="O22" s="5">
        <v>4</v>
      </c>
      <c r="P22" s="5">
        <v>3</v>
      </c>
      <c r="Q22" s="19">
        <f t="shared" si="1"/>
        <v>3.2</v>
      </c>
      <c r="R22" s="5">
        <v>4</v>
      </c>
      <c r="S22" s="5">
        <v>5</v>
      </c>
      <c r="T22" s="5">
        <v>5</v>
      </c>
      <c r="U22" s="5">
        <v>5</v>
      </c>
      <c r="V22" s="5">
        <v>4</v>
      </c>
      <c r="W22" s="19">
        <f t="shared" si="2"/>
        <v>4.5999999999999996</v>
      </c>
      <c r="X22" s="5">
        <v>5</v>
      </c>
      <c r="Y22" s="5">
        <v>5</v>
      </c>
      <c r="Z22" s="5">
        <v>5</v>
      </c>
      <c r="AA22" s="5">
        <v>4</v>
      </c>
      <c r="AB22" s="6">
        <v>4</v>
      </c>
      <c r="AC22" s="20">
        <f t="shared" si="3"/>
        <v>4.5999999999999996</v>
      </c>
    </row>
    <row r="23" spans="1:29" ht="15" thickBot="1" x14ac:dyDescent="0.35">
      <c r="A23" s="8">
        <v>1</v>
      </c>
      <c r="B23" s="8" t="s">
        <v>149</v>
      </c>
      <c r="C23" s="8">
        <v>2</v>
      </c>
      <c r="D23" s="8">
        <v>2</v>
      </c>
      <c r="E23" s="8">
        <v>1</v>
      </c>
      <c r="F23" s="8">
        <v>4</v>
      </c>
      <c r="G23" s="8">
        <v>3</v>
      </c>
      <c r="H23" s="8">
        <v>4</v>
      </c>
      <c r="I23" s="8">
        <v>3</v>
      </c>
      <c r="J23" s="8">
        <v>3</v>
      </c>
      <c r="K23" s="19">
        <f t="shared" si="0"/>
        <v>3.4</v>
      </c>
      <c r="L23" s="8">
        <v>4</v>
      </c>
      <c r="M23" s="8">
        <v>4</v>
      </c>
      <c r="N23" s="8">
        <v>4</v>
      </c>
      <c r="O23" s="8">
        <v>4</v>
      </c>
      <c r="P23" s="8">
        <v>4</v>
      </c>
      <c r="Q23" s="19">
        <f t="shared" si="1"/>
        <v>4</v>
      </c>
      <c r="R23" s="8">
        <v>5</v>
      </c>
      <c r="S23" s="8">
        <v>4</v>
      </c>
      <c r="T23" s="8">
        <v>5</v>
      </c>
      <c r="U23" s="8">
        <v>4</v>
      </c>
      <c r="V23" s="8">
        <v>4</v>
      </c>
      <c r="W23" s="19">
        <f t="shared" si="2"/>
        <v>4.4000000000000004</v>
      </c>
      <c r="X23" s="8">
        <v>4</v>
      </c>
      <c r="Y23" s="8">
        <v>3</v>
      </c>
      <c r="Z23" s="8">
        <v>4</v>
      </c>
      <c r="AA23" s="8">
        <v>3</v>
      </c>
      <c r="AB23" s="9">
        <v>4</v>
      </c>
      <c r="AC23" s="20">
        <f t="shared" si="3"/>
        <v>3.6</v>
      </c>
    </row>
    <row r="24" spans="1:29" ht="15" thickBot="1" x14ac:dyDescent="0.35">
      <c r="A24" s="5">
        <v>2</v>
      </c>
      <c r="B24" s="5" t="s">
        <v>148</v>
      </c>
      <c r="C24" s="5">
        <v>2</v>
      </c>
      <c r="D24" s="5">
        <v>1</v>
      </c>
      <c r="E24" s="5">
        <v>1</v>
      </c>
      <c r="F24" s="5">
        <v>5</v>
      </c>
      <c r="G24" s="5">
        <v>4</v>
      </c>
      <c r="H24" s="5">
        <v>4</v>
      </c>
      <c r="I24" s="5">
        <v>4</v>
      </c>
      <c r="J24" s="5">
        <v>4</v>
      </c>
      <c r="K24" s="19">
        <f t="shared" si="0"/>
        <v>4.2</v>
      </c>
      <c r="L24" s="5">
        <v>5</v>
      </c>
      <c r="M24" s="5">
        <v>5</v>
      </c>
      <c r="N24" s="5">
        <v>5</v>
      </c>
      <c r="O24" s="5">
        <v>5</v>
      </c>
      <c r="P24" s="5">
        <v>5</v>
      </c>
      <c r="Q24" s="19">
        <f t="shared" si="1"/>
        <v>5</v>
      </c>
      <c r="R24" s="5">
        <v>5</v>
      </c>
      <c r="S24" s="5">
        <v>5</v>
      </c>
      <c r="T24" s="5">
        <v>5</v>
      </c>
      <c r="U24" s="5">
        <v>5</v>
      </c>
      <c r="V24" s="5">
        <v>4</v>
      </c>
      <c r="W24" s="19">
        <f t="shared" si="2"/>
        <v>4.8</v>
      </c>
      <c r="X24" s="5">
        <v>5</v>
      </c>
      <c r="Y24" s="5">
        <v>5</v>
      </c>
      <c r="Z24" s="5">
        <v>5</v>
      </c>
      <c r="AA24" s="5">
        <v>5</v>
      </c>
      <c r="AB24" s="6">
        <v>3</v>
      </c>
      <c r="AC24" s="20">
        <f t="shared" si="3"/>
        <v>4.5999999999999996</v>
      </c>
    </row>
    <row r="25" spans="1:29" ht="15" thickBot="1" x14ac:dyDescent="0.35">
      <c r="A25" s="8">
        <v>2</v>
      </c>
      <c r="B25" s="8" t="s">
        <v>148</v>
      </c>
      <c r="C25" s="8">
        <v>2</v>
      </c>
      <c r="D25" s="8">
        <v>3</v>
      </c>
      <c r="E25" s="8">
        <v>5</v>
      </c>
      <c r="F25" s="8">
        <v>3</v>
      </c>
      <c r="G25" s="8">
        <v>3</v>
      </c>
      <c r="H25" s="8">
        <v>3</v>
      </c>
      <c r="I25" s="8">
        <v>3</v>
      </c>
      <c r="J25" s="8">
        <v>3</v>
      </c>
      <c r="K25" s="19">
        <f t="shared" si="0"/>
        <v>3</v>
      </c>
      <c r="L25" s="8">
        <v>3</v>
      </c>
      <c r="M25" s="8">
        <v>3</v>
      </c>
      <c r="N25" s="8">
        <v>4</v>
      </c>
      <c r="O25" s="8">
        <v>4</v>
      </c>
      <c r="P25" s="8">
        <v>4</v>
      </c>
      <c r="Q25" s="19">
        <f t="shared" si="1"/>
        <v>3.6</v>
      </c>
      <c r="R25" s="8">
        <v>4</v>
      </c>
      <c r="S25" s="8">
        <v>4</v>
      </c>
      <c r="T25" s="8">
        <v>4</v>
      </c>
      <c r="U25" s="8">
        <v>4</v>
      </c>
      <c r="V25" s="8">
        <v>4</v>
      </c>
      <c r="W25" s="19">
        <f t="shared" si="2"/>
        <v>4</v>
      </c>
      <c r="X25" s="8">
        <v>4</v>
      </c>
      <c r="Y25" s="8">
        <v>4</v>
      </c>
      <c r="Z25" s="8">
        <v>4</v>
      </c>
      <c r="AA25" s="8">
        <v>4</v>
      </c>
      <c r="AB25" s="9">
        <v>4</v>
      </c>
      <c r="AC25" s="20">
        <f t="shared" si="3"/>
        <v>4</v>
      </c>
    </row>
    <row r="26" spans="1:29" ht="15" thickBot="1" x14ac:dyDescent="0.35">
      <c r="A26" s="5">
        <v>2</v>
      </c>
      <c r="B26" s="5" t="s">
        <v>149</v>
      </c>
      <c r="C26" s="5">
        <v>2</v>
      </c>
      <c r="D26" s="5">
        <v>2</v>
      </c>
      <c r="E26" s="5">
        <v>5</v>
      </c>
      <c r="F26" s="5">
        <v>2</v>
      </c>
      <c r="G26" s="5">
        <v>2</v>
      </c>
      <c r="H26" s="5">
        <v>3</v>
      </c>
      <c r="I26" s="5">
        <v>3</v>
      </c>
      <c r="J26" s="5">
        <v>2</v>
      </c>
      <c r="K26" s="19">
        <f t="shared" si="0"/>
        <v>2.4</v>
      </c>
      <c r="L26" s="5">
        <v>4</v>
      </c>
      <c r="M26" s="5">
        <v>4</v>
      </c>
      <c r="N26" s="5">
        <v>4</v>
      </c>
      <c r="O26" s="5">
        <v>3</v>
      </c>
      <c r="P26" s="5">
        <v>4</v>
      </c>
      <c r="Q26" s="19">
        <f t="shared" si="1"/>
        <v>3.8</v>
      </c>
      <c r="R26" s="5">
        <v>3</v>
      </c>
      <c r="S26" s="5">
        <v>4</v>
      </c>
      <c r="T26" s="5">
        <v>4</v>
      </c>
      <c r="U26" s="5">
        <v>4</v>
      </c>
      <c r="V26" s="5">
        <v>4</v>
      </c>
      <c r="W26" s="19">
        <f t="shared" si="2"/>
        <v>3.8</v>
      </c>
      <c r="X26" s="5">
        <v>4</v>
      </c>
      <c r="Y26" s="5">
        <v>2</v>
      </c>
      <c r="Z26" s="5">
        <v>3</v>
      </c>
      <c r="AA26" s="5">
        <v>4</v>
      </c>
      <c r="AB26" s="6">
        <v>2</v>
      </c>
      <c r="AC26" s="20">
        <f t="shared" si="3"/>
        <v>3</v>
      </c>
    </row>
    <row r="27" spans="1:29" ht="15" thickBot="1" x14ac:dyDescent="0.35">
      <c r="A27" s="8">
        <v>2</v>
      </c>
      <c r="B27" s="8" t="s">
        <v>149</v>
      </c>
      <c r="C27" s="8">
        <v>2</v>
      </c>
      <c r="D27" s="8">
        <v>2</v>
      </c>
      <c r="E27" s="8">
        <v>1</v>
      </c>
      <c r="F27" s="8">
        <v>4</v>
      </c>
      <c r="G27" s="8">
        <v>3</v>
      </c>
      <c r="H27" s="8">
        <v>4</v>
      </c>
      <c r="I27" s="8">
        <v>3</v>
      </c>
      <c r="J27" s="8">
        <v>4</v>
      </c>
      <c r="K27" s="19">
        <f t="shared" si="0"/>
        <v>3.6</v>
      </c>
      <c r="L27" s="8">
        <v>4</v>
      </c>
      <c r="M27" s="8">
        <v>4</v>
      </c>
      <c r="N27" s="8">
        <v>4</v>
      </c>
      <c r="O27" s="8">
        <v>4</v>
      </c>
      <c r="P27" s="8">
        <v>4</v>
      </c>
      <c r="Q27" s="19">
        <f t="shared" si="1"/>
        <v>4</v>
      </c>
      <c r="R27" s="8">
        <v>3</v>
      </c>
      <c r="S27" s="8">
        <v>4</v>
      </c>
      <c r="T27" s="8">
        <v>4</v>
      </c>
      <c r="U27" s="8">
        <v>4</v>
      </c>
      <c r="V27" s="8">
        <v>4</v>
      </c>
      <c r="W27" s="19">
        <f t="shared" si="2"/>
        <v>3.8</v>
      </c>
      <c r="X27" s="8">
        <v>4</v>
      </c>
      <c r="Y27" s="8">
        <v>4</v>
      </c>
      <c r="Z27" s="8">
        <v>4</v>
      </c>
      <c r="AA27" s="8">
        <v>4</v>
      </c>
      <c r="AB27" s="9">
        <v>3</v>
      </c>
      <c r="AC27" s="20">
        <f t="shared" si="3"/>
        <v>3.8</v>
      </c>
    </row>
    <row r="28" spans="1:29" ht="15" thickBot="1" x14ac:dyDescent="0.35">
      <c r="A28" s="5">
        <v>2</v>
      </c>
      <c r="B28" s="5" t="s">
        <v>149</v>
      </c>
      <c r="C28" s="5">
        <v>1</v>
      </c>
      <c r="D28" s="5">
        <v>4</v>
      </c>
      <c r="E28" s="5">
        <v>1</v>
      </c>
      <c r="F28" s="5">
        <v>4</v>
      </c>
      <c r="G28" s="5">
        <v>3</v>
      </c>
      <c r="H28" s="5">
        <v>4</v>
      </c>
      <c r="I28" s="5">
        <v>5</v>
      </c>
      <c r="J28" s="5">
        <v>4</v>
      </c>
      <c r="K28" s="19">
        <f t="shared" si="0"/>
        <v>4</v>
      </c>
      <c r="L28" s="5">
        <v>4</v>
      </c>
      <c r="M28" s="5">
        <v>4</v>
      </c>
      <c r="N28" s="5">
        <v>4</v>
      </c>
      <c r="O28" s="5">
        <v>5</v>
      </c>
      <c r="P28" s="5">
        <v>5</v>
      </c>
      <c r="Q28" s="19">
        <f t="shared" si="1"/>
        <v>4.4000000000000004</v>
      </c>
      <c r="R28" s="5">
        <v>3</v>
      </c>
      <c r="S28" s="5">
        <v>3</v>
      </c>
      <c r="T28" s="5">
        <v>5</v>
      </c>
      <c r="U28" s="5">
        <v>4</v>
      </c>
      <c r="V28" s="5">
        <v>4</v>
      </c>
      <c r="W28" s="19">
        <f t="shared" si="2"/>
        <v>3.8</v>
      </c>
      <c r="X28" s="5">
        <v>5</v>
      </c>
      <c r="Y28" s="5">
        <v>5</v>
      </c>
      <c r="Z28" s="5">
        <v>5</v>
      </c>
      <c r="AA28" s="5">
        <v>4</v>
      </c>
      <c r="AB28" s="6">
        <v>5</v>
      </c>
      <c r="AC28" s="20">
        <f t="shared" si="3"/>
        <v>4.8</v>
      </c>
    </row>
    <row r="29" spans="1:29" ht="15" thickBot="1" x14ac:dyDescent="0.35">
      <c r="A29" s="8">
        <v>2</v>
      </c>
      <c r="B29" s="8" t="s">
        <v>148</v>
      </c>
      <c r="C29" s="8">
        <v>3</v>
      </c>
      <c r="D29" s="8">
        <v>1</v>
      </c>
      <c r="E29" s="8">
        <v>5</v>
      </c>
      <c r="F29" s="8">
        <v>1</v>
      </c>
      <c r="G29" s="8">
        <v>3</v>
      </c>
      <c r="H29" s="8">
        <v>1</v>
      </c>
      <c r="I29" s="8">
        <v>2</v>
      </c>
      <c r="J29" s="8">
        <v>4</v>
      </c>
      <c r="K29" s="19">
        <f t="shared" si="0"/>
        <v>2.2000000000000002</v>
      </c>
      <c r="L29" s="8">
        <v>1</v>
      </c>
      <c r="M29" s="8">
        <v>1</v>
      </c>
      <c r="N29" s="8">
        <v>3</v>
      </c>
      <c r="O29" s="8">
        <v>3</v>
      </c>
      <c r="P29" s="8">
        <v>5</v>
      </c>
      <c r="Q29" s="19">
        <f t="shared" si="1"/>
        <v>2.6</v>
      </c>
      <c r="R29" s="8">
        <v>1</v>
      </c>
      <c r="S29" s="8">
        <v>1</v>
      </c>
      <c r="T29" s="8">
        <v>3</v>
      </c>
      <c r="U29" s="8">
        <v>5</v>
      </c>
      <c r="V29" s="8">
        <v>1</v>
      </c>
      <c r="W29" s="19">
        <f t="shared" si="2"/>
        <v>2.2000000000000002</v>
      </c>
      <c r="X29" s="8">
        <v>2</v>
      </c>
      <c r="Y29" s="8">
        <v>3</v>
      </c>
      <c r="Z29" s="8">
        <v>4</v>
      </c>
      <c r="AA29" s="8">
        <v>5</v>
      </c>
      <c r="AB29" s="9">
        <v>1</v>
      </c>
      <c r="AC29" s="20">
        <f t="shared" si="3"/>
        <v>3</v>
      </c>
    </row>
    <row r="30" spans="1:29" ht="15" thickBot="1" x14ac:dyDescent="0.35">
      <c r="A30" s="5">
        <v>2</v>
      </c>
      <c r="B30" s="5" t="s">
        <v>149</v>
      </c>
      <c r="C30" s="5">
        <v>2</v>
      </c>
      <c r="D30" s="5">
        <v>3</v>
      </c>
      <c r="E30" s="5">
        <v>1</v>
      </c>
      <c r="F30" s="5">
        <v>3</v>
      </c>
      <c r="G30" s="5">
        <v>3</v>
      </c>
      <c r="H30" s="5">
        <v>2</v>
      </c>
      <c r="I30" s="5">
        <v>3</v>
      </c>
      <c r="J30" s="5">
        <v>3</v>
      </c>
      <c r="K30" s="19">
        <f t="shared" si="0"/>
        <v>2.8</v>
      </c>
      <c r="L30" s="5">
        <v>3</v>
      </c>
      <c r="M30" s="5">
        <v>3</v>
      </c>
      <c r="N30" s="5">
        <v>3</v>
      </c>
      <c r="O30" s="5">
        <v>3</v>
      </c>
      <c r="P30" s="5">
        <v>3</v>
      </c>
      <c r="Q30" s="19">
        <f t="shared" si="1"/>
        <v>3</v>
      </c>
      <c r="R30" s="5">
        <v>3</v>
      </c>
      <c r="S30" s="5">
        <v>3</v>
      </c>
      <c r="T30" s="5">
        <v>3</v>
      </c>
      <c r="U30" s="5">
        <v>3</v>
      </c>
      <c r="V30" s="5">
        <v>3</v>
      </c>
      <c r="W30" s="19">
        <f t="shared" si="2"/>
        <v>3</v>
      </c>
      <c r="X30" s="5">
        <v>3</v>
      </c>
      <c r="Y30" s="5">
        <v>3</v>
      </c>
      <c r="Z30" s="5">
        <v>3</v>
      </c>
      <c r="AA30" s="5">
        <v>3</v>
      </c>
      <c r="AB30" s="6">
        <v>3</v>
      </c>
      <c r="AC30" s="20">
        <f t="shared" si="3"/>
        <v>3</v>
      </c>
    </row>
    <row r="31" spans="1:29" ht="15" thickBot="1" x14ac:dyDescent="0.35">
      <c r="A31" s="8">
        <v>2</v>
      </c>
      <c r="B31" s="8" t="s">
        <v>149</v>
      </c>
      <c r="C31" s="8">
        <v>1</v>
      </c>
      <c r="D31" s="8">
        <v>3</v>
      </c>
      <c r="E31" s="8">
        <v>1</v>
      </c>
      <c r="F31" s="8">
        <v>4</v>
      </c>
      <c r="G31" s="8">
        <v>3</v>
      </c>
      <c r="H31" s="8">
        <v>4</v>
      </c>
      <c r="I31" s="8">
        <v>5</v>
      </c>
      <c r="J31" s="8">
        <v>3</v>
      </c>
      <c r="K31" s="19">
        <f t="shared" si="0"/>
        <v>3.8</v>
      </c>
      <c r="L31" s="8">
        <v>5</v>
      </c>
      <c r="M31" s="8">
        <v>5</v>
      </c>
      <c r="N31" s="8">
        <v>5</v>
      </c>
      <c r="O31" s="8">
        <v>5</v>
      </c>
      <c r="P31" s="8">
        <v>5</v>
      </c>
      <c r="Q31" s="19">
        <f t="shared" si="1"/>
        <v>5</v>
      </c>
      <c r="R31" s="8">
        <v>4</v>
      </c>
      <c r="S31" s="8">
        <v>5</v>
      </c>
      <c r="T31" s="8">
        <v>5</v>
      </c>
      <c r="U31" s="8">
        <v>5</v>
      </c>
      <c r="V31" s="8">
        <v>5</v>
      </c>
      <c r="W31" s="19">
        <f t="shared" si="2"/>
        <v>4.8</v>
      </c>
      <c r="X31" s="8">
        <v>5</v>
      </c>
      <c r="Y31" s="8">
        <v>4</v>
      </c>
      <c r="Z31" s="8">
        <v>5</v>
      </c>
      <c r="AA31" s="8">
        <v>4</v>
      </c>
      <c r="AB31" s="9">
        <v>3</v>
      </c>
      <c r="AC31" s="20">
        <f t="shared" si="3"/>
        <v>4.2</v>
      </c>
    </row>
    <row r="32" spans="1:29" ht="15" thickBot="1" x14ac:dyDescent="0.35">
      <c r="A32" s="5">
        <v>2</v>
      </c>
      <c r="B32" s="5" t="s">
        <v>149</v>
      </c>
      <c r="C32" s="5">
        <v>1</v>
      </c>
      <c r="D32" s="5">
        <v>2</v>
      </c>
      <c r="E32" s="5">
        <v>1</v>
      </c>
      <c r="F32" s="5">
        <v>4</v>
      </c>
      <c r="G32" s="5">
        <v>3</v>
      </c>
      <c r="H32" s="5">
        <v>4</v>
      </c>
      <c r="I32" s="5">
        <v>4</v>
      </c>
      <c r="J32" s="5">
        <v>4</v>
      </c>
      <c r="K32" s="19">
        <f t="shared" si="0"/>
        <v>3.8</v>
      </c>
      <c r="L32" s="5">
        <v>5</v>
      </c>
      <c r="M32" s="5">
        <v>5</v>
      </c>
      <c r="N32" s="5">
        <v>5</v>
      </c>
      <c r="O32" s="5">
        <v>5</v>
      </c>
      <c r="P32" s="5">
        <v>5</v>
      </c>
      <c r="Q32" s="19">
        <f t="shared" si="1"/>
        <v>5</v>
      </c>
      <c r="R32" s="5">
        <v>4</v>
      </c>
      <c r="S32" s="5">
        <v>4</v>
      </c>
      <c r="T32" s="5">
        <v>4</v>
      </c>
      <c r="U32" s="5">
        <v>4</v>
      </c>
      <c r="V32" s="5">
        <v>4</v>
      </c>
      <c r="W32" s="19">
        <f t="shared" si="2"/>
        <v>4</v>
      </c>
      <c r="X32" s="5">
        <v>4</v>
      </c>
      <c r="Y32" s="5">
        <v>4</v>
      </c>
      <c r="Z32" s="5">
        <v>4</v>
      </c>
      <c r="AA32" s="5">
        <v>4</v>
      </c>
      <c r="AB32" s="6">
        <v>4</v>
      </c>
      <c r="AC32" s="20">
        <f t="shared" si="3"/>
        <v>4</v>
      </c>
    </row>
    <row r="33" spans="1:29" ht="15" thickBot="1" x14ac:dyDescent="0.35">
      <c r="A33" s="8">
        <v>2</v>
      </c>
      <c r="B33" s="8" t="s">
        <v>149</v>
      </c>
      <c r="C33" s="8">
        <v>2</v>
      </c>
      <c r="D33" s="8">
        <v>2</v>
      </c>
      <c r="E33" s="8">
        <v>1</v>
      </c>
      <c r="F33" s="8">
        <v>1</v>
      </c>
      <c r="G33" s="8">
        <v>3</v>
      </c>
      <c r="H33" s="8">
        <v>4</v>
      </c>
      <c r="I33" s="8">
        <v>3</v>
      </c>
      <c r="J33" s="8">
        <v>4</v>
      </c>
      <c r="K33" s="19">
        <f t="shared" si="0"/>
        <v>3</v>
      </c>
      <c r="L33" s="8">
        <v>5</v>
      </c>
      <c r="M33" s="8">
        <v>4</v>
      </c>
      <c r="N33" s="8">
        <v>4</v>
      </c>
      <c r="O33" s="8">
        <v>5</v>
      </c>
      <c r="P33" s="8">
        <v>4</v>
      </c>
      <c r="Q33" s="19">
        <f t="shared" si="1"/>
        <v>4.4000000000000004</v>
      </c>
      <c r="R33" s="8">
        <v>4</v>
      </c>
      <c r="S33" s="8">
        <v>4</v>
      </c>
      <c r="T33" s="8">
        <v>4</v>
      </c>
      <c r="U33" s="8">
        <v>4</v>
      </c>
      <c r="V33" s="8">
        <v>4</v>
      </c>
      <c r="W33" s="19">
        <f t="shared" si="2"/>
        <v>4</v>
      </c>
      <c r="X33" s="8">
        <v>4</v>
      </c>
      <c r="Y33" s="8">
        <v>3</v>
      </c>
      <c r="Z33" s="8">
        <v>4</v>
      </c>
      <c r="AA33" s="8">
        <v>3</v>
      </c>
      <c r="AB33" s="9">
        <v>3</v>
      </c>
      <c r="AC33" s="20">
        <f t="shared" si="3"/>
        <v>3.4</v>
      </c>
    </row>
    <row r="34" spans="1:29" ht="15" thickBot="1" x14ac:dyDescent="0.35">
      <c r="A34" s="5">
        <v>2</v>
      </c>
      <c r="B34" s="5" t="s">
        <v>149</v>
      </c>
      <c r="C34" s="5">
        <v>2</v>
      </c>
      <c r="D34" s="5">
        <v>2</v>
      </c>
      <c r="E34" s="5">
        <v>3</v>
      </c>
      <c r="F34" s="5">
        <v>3</v>
      </c>
      <c r="G34" s="5">
        <v>3</v>
      </c>
      <c r="H34" s="5">
        <v>3</v>
      </c>
      <c r="I34" s="5">
        <v>1</v>
      </c>
      <c r="J34" s="5">
        <v>2</v>
      </c>
      <c r="K34" s="19">
        <f t="shared" si="0"/>
        <v>2.4</v>
      </c>
      <c r="L34" s="5">
        <v>2</v>
      </c>
      <c r="M34" s="5">
        <v>4</v>
      </c>
      <c r="N34" s="5">
        <v>3</v>
      </c>
      <c r="O34" s="5">
        <v>1</v>
      </c>
      <c r="P34" s="5">
        <v>4</v>
      </c>
      <c r="Q34" s="19">
        <f t="shared" si="1"/>
        <v>2.8</v>
      </c>
      <c r="R34" s="5">
        <v>2</v>
      </c>
      <c r="S34" s="5">
        <v>4</v>
      </c>
      <c r="T34" s="5">
        <v>4</v>
      </c>
      <c r="U34" s="5">
        <v>3</v>
      </c>
      <c r="V34" s="5">
        <v>2</v>
      </c>
      <c r="W34" s="19">
        <f t="shared" si="2"/>
        <v>3</v>
      </c>
      <c r="X34" s="5">
        <v>3</v>
      </c>
      <c r="Y34" s="5">
        <v>2</v>
      </c>
      <c r="Z34" s="5">
        <v>5</v>
      </c>
      <c r="AA34" s="5">
        <v>4</v>
      </c>
      <c r="AB34" s="6">
        <v>2</v>
      </c>
      <c r="AC34" s="20">
        <f t="shared" si="3"/>
        <v>3.2</v>
      </c>
    </row>
    <row r="35" spans="1:29" ht="15" thickBot="1" x14ac:dyDescent="0.35">
      <c r="A35" s="8">
        <v>2</v>
      </c>
      <c r="B35" s="8" t="s">
        <v>149</v>
      </c>
      <c r="C35" s="8">
        <v>2</v>
      </c>
      <c r="D35" s="8">
        <v>1</v>
      </c>
      <c r="E35" s="8">
        <v>1</v>
      </c>
      <c r="F35" s="8">
        <v>3</v>
      </c>
      <c r="G35" s="8">
        <v>2</v>
      </c>
      <c r="H35" s="8">
        <v>2</v>
      </c>
      <c r="I35" s="8">
        <v>2</v>
      </c>
      <c r="J35" s="8">
        <v>3</v>
      </c>
      <c r="K35" s="19">
        <f t="shared" si="0"/>
        <v>2.4</v>
      </c>
      <c r="L35" s="8">
        <v>4</v>
      </c>
      <c r="M35" s="8">
        <v>4</v>
      </c>
      <c r="N35" s="8">
        <v>4</v>
      </c>
      <c r="O35" s="8">
        <v>4</v>
      </c>
      <c r="P35" s="8">
        <v>3</v>
      </c>
      <c r="Q35" s="19">
        <f t="shared" si="1"/>
        <v>3.8</v>
      </c>
      <c r="R35" s="8">
        <v>4</v>
      </c>
      <c r="S35" s="8">
        <v>3</v>
      </c>
      <c r="T35" s="8">
        <v>4</v>
      </c>
      <c r="U35" s="8">
        <v>3</v>
      </c>
      <c r="V35" s="8">
        <v>3</v>
      </c>
      <c r="W35" s="19">
        <f t="shared" si="2"/>
        <v>3.4</v>
      </c>
      <c r="X35" s="8">
        <v>4</v>
      </c>
      <c r="Y35" s="8">
        <v>3</v>
      </c>
      <c r="Z35" s="8">
        <v>3</v>
      </c>
      <c r="AA35" s="8">
        <v>3</v>
      </c>
      <c r="AB35" s="9">
        <v>3</v>
      </c>
      <c r="AC35" s="20">
        <f t="shared" si="3"/>
        <v>3.2</v>
      </c>
    </row>
    <row r="36" spans="1:29" ht="15" thickBot="1" x14ac:dyDescent="0.35">
      <c r="A36" s="5">
        <v>2</v>
      </c>
      <c r="B36" s="5" t="s">
        <v>149</v>
      </c>
      <c r="C36" s="5">
        <v>2</v>
      </c>
      <c r="D36" s="5">
        <v>3</v>
      </c>
      <c r="E36" s="5">
        <v>1</v>
      </c>
      <c r="F36" s="5">
        <v>5</v>
      </c>
      <c r="G36" s="5">
        <v>5</v>
      </c>
      <c r="H36" s="5">
        <v>5</v>
      </c>
      <c r="I36" s="5">
        <v>4</v>
      </c>
      <c r="J36" s="5">
        <v>5</v>
      </c>
      <c r="K36" s="19">
        <f t="shared" si="0"/>
        <v>4.8</v>
      </c>
      <c r="L36" s="5">
        <v>5</v>
      </c>
      <c r="M36" s="5">
        <v>5</v>
      </c>
      <c r="N36" s="5">
        <v>5</v>
      </c>
      <c r="O36" s="5">
        <v>5</v>
      </c>
      <c r="P36" s="5">
        <v>5</v>
      </c>
      <c r="Q36" s="19">
        <f t="shared" si="1"/>
        <v>5</v>
      </c>
      <c r="R36" s="5">
        <v>3</v>
      </c>
      <c r="S36" s="5">
        <v>3</v>
      </c>
      <c r="T36" s="5">
        <v>5</v>
      </c>
      <c r="U36" s="5">
        <v>3</v>
      </c>
      <c r="V36" s="5">
        <v>5</v>
      </c>
      <c r="W36" s="19">
        <f t="shared" si="2"/>
        <v>3.8</v>
      </c>
      <c r="X36" s="5">
        <v>4</v>
      </c>
      <c r="Y36" s="5">
        <v>3</v>
      </c>
      <c r="Z36" s="5">
        <v>3</v>
      </c>
      <c r="AA36" s="5">
        <v>3</v>
      </c>
      <c r="AB36" s="6">
        <v>2</v>
      </c>
      <c r="AC36" s="20">
        <f t="shared" si="3"/>
        <v>3</v>
      </c>
    </row>
    <row r="37" spans="1:29" ht="15" thickBot="1" x14ac:dyDescent="0.35">
      <c r="A37" s="8">
        <v>2</v>
      </c>
      <c r="B37" s="8" t="s">
        <v>149</v>
      </c>
      <c r="C37" s="8">
        <v>1</v>
      </c>
      <c r="D37" s="8">
        <v>4</v>
      </c>
      <c r="E37" s="8">
        <v>1</v>
      </c>
      <c r="F37" s="8">
        <v>5</v>
      </c>
      <c r="G37" s="8">
        <v>4</v>
      </c>
      <c r="H37" s="8">
        <v>4</v>
      </c>
      <c r="I37" s="8">
        <v>4</v>
      </c>
      <c r="J37" s="8">
        <v>4</v>
      </c>
      <c r="K37" s="19">
        <f t="shared" si="0"/>
        <v>4.2</v>
      </c>
      <c r="L37" s="8">
        <v>4</v>
      </c>
      <c r="M37" s="8">
        <v>4</v>
      </c>
      <c r="N37" s="8">
        <v>4</v>
      </c>
      <c r="O37" s="8">
        <v>4</v>
      </c>
      <c r="P37" s="8">
        <v>4</v>
      </c>
      <c r="Q37" s="19">
        <f t="shared" si="1"/>
        <v>4</v>
      </c>
      <c r="R37" s="8">
        <v>4</v>
      </c>
      <c r="S37" s="8">
        <v>4</v>
      </c>
      <c r="T37" s="8">
        <v>4</v>
      </c>
      <c r="U37" s="8">
        <v>4</v>
      </c>
      <c r="V37" s="8">
        <v>4</v>
      </c>
      <c r="W37" s="19">
        <f t="shared" si="2"/>
        <v>4</v>
      </c>
      <c r="X37" s="8">
        <v>4</v>
      </c>
      <c r="Y37" s="8">
        <v>4</v>
      </c>
      <c r="Z37" s="8">
        <v>4</v>
      </c>
      <c r="AA37" s="8">
        <v>4</v>
      </c>
      <c r="AB37" s="9">
        <v>4</v>
      </c>
      <c r="AC37" s="20">
        <f t="shared" si="3"/>
        <v>4</v>
      </c>
    </row>
    <row r="38" spans="1:29" ht="15" thickBot="1" x14ac:dyDescent="0.35">
      <c r="A38" s="5">
        <v>2</v>
      </c>
      <c r="B38" s="5" t="s">
        <v>149</v>
      </c>
      <c r="C38" s="5">
        <v>2</v>
      </c>
      <c r="D38" s="5">
        <v>3</v>
      </c>
      <c r="E38" s="5">
        <v>2</v>
      </c>
      <c r="F38" s="5">
        <v>4</v>
      </c>
      <c r="G38" s="5">
        <v>3</v>
      </c>
      <c r="H38" s="5">
        <v>3</v>
      </c>
      <c r="I38" s="5">
        <v>4</v>
      </c>
      <c r="J38" s="5">
        <v>4</v>
      </c>
      <c r="K38" s="19">
        <f t="shared" si="0"/>
        <v>3.6</v>
      </c>
      <c r="L38" s="5">
        <v>5</v>
      </c>
      <c r="M38" s="5">
        <v>5</v>
      </c>
      <c r="N38" s="5">
        <v>5</v>
      </c>
      <c r="O38" s="5">
        <v>5</v>
      </c>
      <c r="P38" s="5">
        <v>5</v>
      </c>
      <c r="Q38" s="19">
        <f t="shared" si="1"/>
        <v>5</v>
      </c>
      <c r="R38" s="5">
        <v>5</v>
      </c>
      <c r="S38" s="5">
        <v>5</v>
      </c>
      <c r="T38" s="5">
        <v>5</v>
      </c>
      <c r="U38" s="5">
        <v>5</v>
      </c>
      <c r="V38" s="5">
        <v>5</v>
      </c>
      <c r="W38" s="19">
        <f t="shared" si="2"/>
        <v>5</v>
      </c>
      <c r="X38" s="5">
        <v>5</v>
      </c>
      <c r="Y38" s="5">
        <v>5</v>
      </c>
      <c r="Z38" s="5">
        <v>5</v>
      </c>
      <c r="AA38" s="5">
        <v>5</v>
      </c>
      <c r="AB38" s="6">
        <v>5</v>
      </c>
      <c r="AC38" s="20">
        <f t="shared" si="3"/>
        <v>5</v>
      </c>
    </row>
    <row r="39" spans="1:29" ht="15" thickBot="1" x14ac:dyDescent="0.35">
      <c r="A39" s="8">
        <v>3</v>
      </c>
      <c r="B39" s="8" t="s">
        <v>148</v>
      </c>
      <c r="C39" s="8">
        <v>3</v>
      </c>
      <c r="D39" s="8">
        <v>3</v>
      </c>
      <c r="E39" s="8">
        <v>5</v>
      </c>
      <c r="F39" s="8">
        <v>5</v>
      </c>
      <c r="G39" s="8">
        <v>1</v>
      </c>
      <c r="H39" s="8">
        <v>1</v>
      </c>
      <c r="I39" s="8">
        <v>1</v>
      </c>
      <c r="J39" s="8">
        <v>1</v>
      </c>
      <c r="K39" s="19">
        <f t="shared" si="0"/>
        <v>1.8</v>
      </c>
      <c r="L39" s="8">
        <v>1</v>
      </c>
      <c r="M39" s="8">
        <v>1</v>
      </c>
      <c r="N39" s="8">
        <v>1</v>
      </c>
      <c r="O39" s="8">
        <v>1</v>
      </c>
      <c r="P39" s="8">
        <v>1</v>
      </c>
      <c r="Q39" s="19">
        <f t="shared" si="1"/>
        <v>1</v>
      </c>
      <c r="R39" s="8">
        <v>1</v>
      </c>
      <c r="S39" s="8">
        <v>1</v>
      </c>
      <c r="T39" s="8">
        <v>1</v>
      </c>
      <c r="U39" s="8">
        <v>1</v>
      </c>
      <c r="V39" s="8">
        <v>1</v>
      </c>
      <c r="W39" s="19">
        <f t="shared" si="2"/>
        <v>1</v>
      </c>
      <c r="X39" s="8">
        <v>1</v>
      </c>
      <c r="Y39" s="8">
        <v>1</v>
      </c>
      <c r="Z39" s="8">
        <v>1</v>
      </c>
      <c r="AA39" s="8">
        <v>1</v>
      </c>
      <c r="AB39" s="9">
        <v>1</v>
      </c>
      <c r="AC39" s="20">
        <f t="shared" si="3"/>
        <v>1</v>
      </c>
    </row>
    <row r="40" spans="1:29" ht="15" thickBot="1" x14ac:dyDescent="0.35">
      <c r="A40" s="5">
        <v>3</v>
      </c>
      <c r="B40" s="5" t="s">
        <v>149</v>
      </c>
      <c r="C40" s="5">
        <v>3</v>
      </c>
      <c r="D40" s="5">
        <v>4</v>
      </c>
      <c r="E40" s="5">
        <v>5</v>
      </c>
      <c r="F40" s="5">
        <v>5</v>
      </c>
      <c r="G40" s="5">
        <v>5</v>
      </c>
      <c r="H40" s="5">
        <v>4</v>
      </c>
      <c r="I40" s="5">
        <v>3</v>
      </c>
      <c r="J40" s="5">
        <v>5</v>
      </c>
      <c r="K40" s="19">
        <f t="shared" si="0"/>
        <v>4.4000000000000004</v>
      </c>
      <c r="L40" s="5">
        <v>5</v>
      </c>
      <c r="M40" s="5">
        <v>5</v>
      </c>
      <c r="N40" s="5">
        <v>5</v>
      </c>
      <c r="O40" s="5">
        <v>5</v>
      </c>
      <c r="P40" s="5">
        <v>5</v>
      </c>
      <c r="Q40" s="19">
        <f t="shared" si="1"/>
        <v>5</v>
      </c>
      <c r="R40" s="5">
        <v>5</v>
      </c>
      <c r="S40" s="5">
        <v>5</v>
      </c>
      <c r="T40" s="5">
        <v>5</v>
      </c>
      <c r="U40" s="5">
        <v>5</v>
      </c>
      <c r="V40" s="5">
        <v>4</v>
      </c>
      <c r="W40" s="19">
        <f t="shared" si="2"/>
        <v>4.8</v>
      </c>
      <c r="X40" s="5">
        <v>5</v>
      </c>
      <c r="Y40" s="5">
        <v>5</v>
      </c>
      <c r="Z40" s="5">
        <v>5</v>
      </c>
      <c r="AA40" s="5">
        <v>5</v>
      </c>
      <c r="AB40" s="6">
        <v>5</v>
      </c>
      <c r="AC40" s="20">
        <f t="shared" si="3"/>
        <v>5</v>
      </c>
    </row>
    <row r="41" spans="1:29" ht="15" thickBot="1" x14ac:dyDescent="0.35">
      <c r="A41" s="8">
        <v>4</v>
      </c>
      <c r="B41" s="8" t="s">
        <v>149</v>
      </c>
      <c r="C41" s="8">
        <v>4</v>
      </c>
      <c r="D41" s="8">
        <v>4</v>
      </c>
      <c r="E41" s="8">
        <v>5</v>
      </c>
      <c r="F41" s="8">
        <v>5</v>
      </c>
      <c r="G41" s="8">
        <v>1</v>
      </c>
      <c r="H41" s="8">
        <v>5</v>
      </c>
      <c r="I41" s="8">
        <v>4</v>
      </c>
      <c r="J41" s="8">
        <v>5</v>
      </c>
      <c r="K41" s="19">
        <f t="shared" si="0"/>
        <v>4</v>
      </c>
      <c r="L41" s="8">
        <v>2</v>
      </c>
      <c r="M41" s="8">
        <v>4</v>
      </c>
      <c r="N41" s="8">
        <v>3</v>
      </c>
      <c r="O41" s="8">
        <v>5</v>
      </c>
      <c r="P41" s="8">
        <v>5</v>
      </c>
      <c r="Q41" s="19">
        <f t="shared" si="1"/>
        <v>3.8</v>
      </c>
      <c r="R41" s="8">
        <v>5</v>
      </c>
      <c r="S41" s="8">
        <v>5</v>
      </c>
      <c r="T41" s="8">
        <v>5</v>
      </c>
      <c r="U41" s="8">
        <v>5</v>
      </c>
      <c r="V41" s="8">
        <v>5</v>
      </c>
      <c r="W41" s="19">
        <f t="shared" si="2"/>
        <v>5</v>
      </c>
      <c r="X41" s="8">
        <v>5</v>
      </c>
      <c r="Y41" s="8">
        <v>5</v>
      </c>
      <c r="Z41" s="8">
        <v>3</v>
      </c>
      <c r="AA41" s="8">
        <v>5</v>
      </c>
      <c r="AB41" s="9">
        <v>5</v>
      </c>
      <c r="AC41" s="20">
        <f t="shared" si="3"/>
        <v>4.5999999999999996</v>
      </c>
    </row>
    <row r="42" spans="1:29" ht="15" thickBot="1" x14ac:dyDescent="0.35">
      <c r="A42" s="5">
        <v>2</v>
      </c>
      <c r="B42" s="5" t="s">
        <v>148</v>
      </c>
      <c r="C42" s="5">
        <v>3</v>
      </c>
      <c r="D42" s="5">
        <v>2</v>
      </c>
      <c r="E42" s="5">
        <v>4</v>
      </c>
      <c r="F42" s="5">
        <v>3</v>
      </c>
      <c r="G42" s="5">
        <v>3</v>
      </c>
      <c r="H42" s="5">
        <v>3</v>
      </c>
      <c r="I42" s="5">
        <v>3</v>
      </c>
      <c r="J42" s="5">
        <v>3</v>
      </c>
      <c r="K42" s="19">
        <f t="shared" si="0"/>
        <v>3</v>
      </c>
      <c r="L42" s="5">
        <v>3</v>
      </c>
      <c r="M42" s="5">
        <v>3</v>
      </c>
      <c r="N42" s="5">
        <v>3</v>
      </c>
      <c r="O42" s="5">
        <v>3</v>
      </c>
      <c r="P42" s="5">
        <v>3</v>
      </c>
      <c r="Q42" s="19">
        <f t="shared" si="1"/>
        <v>3</v>
      </c>
      <c r="R42" s="5">
        <v>3</v>
      </c>
      <c r="S42" s="5">
        <v>3</v>
      </c>
      <c r="T42" s="5">
        <v>3</v>
      </c>
      <c r="U42" s="5">
        <v>3</v>
      </c>
      <c r="V42" s="5">
        <v>3</v>
      </c>
      <c r="W42" s="19">
        <f t="shared" si="2"/>
        <v>3</v>
      </c>
      <c r="X42" s="5">
        <v>3</v>
      </c>
      <c r="Y42" s="5">
        <v>3</v>
      </c>
      <c r="Z42" s="5">
        <v>3</v>
      </c>
      <c r="AA42" s="5">
        <v>3</v>
      </c>
      <c r="AB42" s="6">
        <v>3</v>
      </c>
      <c r="AC42" s="20">
        <f t="shared" si="3"/>
        <v>3</v>
      </c>
    </row>
    <row r="43" spans="1:29" ht="15" thickBot="1" x14ac:dyDescent="0.35">
      <c r="A43" s="8">
        <v>4</v>
      </c>
      <c r="B43" s="8" t="s">
        <v>148</v>
      </c>
      <c r="C43" s="8">
        <v>4</v>
      </c>
      <c r="D43" s="8">
        <v>4</v>
      </c>
      <c r="E43" s="8">
        <v>5</v>
      </c>
      <c r="F43" s="8">
        <v>5</v>
      </c>
      <c r="G43" s="8">
        <v>5</v>
      </c>
      <c r="H43" s="8">
        <v>4</v>
      </c>
      <c r="I43" s="8">
        <v>4</v>
      </c>
      <c r="J43" s="8">
        <v>1</v>
      </c>
      <c r="K43" s="19">
        <f t="shared" si="0"/>
        <v>3.8</v>
      </c>
      <c r="L43" s="8">
        <v>2</v>
      </c>
      <c r="M43" s="8">
        <v>5</v>
      </c>
      <c r="N43" s="8">
        <v>3</v>
      </c>
      <c r="O43" s="8">
        <v>2</v>
      </c>
      <c r="P43" s="8">
        <v>4</v>
      </c>
      <c r="Q43" s="19">
        <f t="shared" si="1"/>
        <v>3.2</v>
      </c>
      <c r="R43" s="8">
        <v>5</v>
      </c>
      <c r="S43" s="8">
        <v>4</v>
      </c>
      <c r="T43" s="8">
        <v>3</v>
      </c>
      <c r="U43" s="8">
        <v>5</v>
      </c>
      <c r="V43" s="8">
        <v>5</v>
      </c>
      <c r="W43" s="19">
        <f t="shared" si="2"/>
        <v>4.4000000000000004</v>
      </c>
      <c r="X43" s="8">
        <v>2</v>
      </c>
      <c r="Y43" s="8">
        <v>2</v>
      </c>
      <c r="Z43" s="8">
        <v>3</v>
      </c>
      <c r="AA43" s="8">
        <v>1</v>
      </c>
      <c r="AB43" s="9">
        <v>4</v>
      </c>
      <c r="AC43" s="20">
        <f t="shared" si="3"/>
        <v>2.4</v>
      </c>
    </row>
    <row r="44" spans="1:29" ht="15" thickBot="1" x14ac:dyDescent="0.35">
      <c r="A44" s="5">
        <v>1</v>
      </c>
      <c r="B44" s="5" t="s">
        <v>148</v>
      </c>
      <c r="C44" s="5">
        <v>1</v>
      </c>
      <c r="D44" s="5">
        <v>2</v>
      </c>
      <c r="E44" s="5">
        <v>3</v>
      </c>
      <c r="F44" s="5">
        <v>2</v>
      </c>
      <c r="G44" s="5">
        <v>2</v>
      </c>
      <c r="H44" s="5">
        <v>2</v>
      </c>
      <c r="I44" s="5">
        <v>2</v>
      </c>
      <c r="J44" s="5">
        <v>2</v>
      </c>
      <c r="K44" s="19">
        <f t="shared" si="0"/>
        <v>2</v>
      </c>
      <c r="L44" s="5">
        <v>2</v>
      </c>
      <c r="M44" s="5">
        <v>1</v>
      </c>
      <c r="N44" s="5">
        <v>2</v>
      </c>
      <c r="O44" s="5">
        <v>3</v>
      </c>
      <c r="P44" s="5">
        <v>1</v>
      </c>
      <c r="Q44" s="19">
        <f t="shared" si="1"/>
        <v>1.8</v>
      </c>
      <c r="R44" s="5">
        <v>1</v>
      </c>
      <c r="S44" s="5">
        <v>2</v>
      </c>
      <c r="T44" s="5">
        <v>4</v>
      </c>
      <c r="U44" s="5">
        <v>4</v>
      </c>
      <c r="V44" s="5">
        <v>4</v>
      </c>
      <c r="W44" s="19">
        <f t="shared" si="2"/>
        <v>3</v>
      </c>
      <c r="X44" s="5">
        <v>4</v>
      </c>
      <c r="Y44" s="5">
        <v>5</v>
      </c>
      <c r="Z44" s="5">
        <v>4</v>
      </c>
      <c r="AA44" s="5">
        <v>4</v>
      </c>
      <c r="AB44" s="6">
        <v>5</v>
      </c>
      <c r="AC44" s="20">
        <f t="shared" si="3"/>
        <v>4.4000000000000004</v>
      </c>
    </row>
    <row r="45" spans="1:29" ht="15" thickBot="1" x14ac:dyDescent="0.35">
      <c r="A45" s="8">
        <v>3</v>
      </c>
      <c r="B45" s="8" t="s">
        <v>148</v>
      </c>
      <c r="C45" s="8">
        <v>3</v>
      </c>
      <c r="D45" s="8">
        <v>3</v>
      </c>
      <c r="E45" s="8">
        <v>4</v>
      </c>
      <c r="F45" s="8">
        <v>3</v>
      </c>
      <c r="G45" s="8">
        <v>4</v>
      </c>
      <c r="H45" s="8">
        <v>2</v>
      </c>
      <c r="I45" s="8">
        <v>3</v>
      </c>
      <c r="J45" s="8">
        <v>4</v>
      </c>
      <c r="K45" s="19">
        <f t="shared" si="0"/>
        <v>3.2</v>
      </c>
      <c r="L45" s="8">
        <v>3</v>
      </c>
      <c r="M45" s="8">
        <v>3</v>
      </c>
      <c r="N45" s="8">
        <v>2</v>
      </c>
      <c r="O45" s="8">
        <v>3</v>
      </c>
      <c r="P45" s="8">
        <v>4</v>
      </c>
      <c r="Q45" s="19">
        <f t="shared" si="1"/>
        <v>3</v>
      </c>
      <c r="R45" s="8">
        <v>3</v>
      </c>
      <c r="S45" s="8">
        <v>4</v>
      </c>
      <c r="T45" s="8">
        <v>4</v>
      </c>
      <c r="U45" s="8">
        <v>5</v>
      </c>
      <c r="V45" s="8">
        <v>5</v>
      </c>
      <c r="W45" s="19">
        <f t="shared" si="2"/>
        <v>4.2</v>
      </c>
      <c r="X45" s="8">
        <v>2</v>
      </c>
      <c r="Y45" s="8">
        <v>4</v>
      </c>
      <c r="Z45" s="8">
        <v>5</v>
      </c>
      <c r="AA45" s="8">
        <v>4</v>
      </c>
      <c r="AB45" s="9">
        <v>2</v>
      </c>
      <c r="AC45" s="20">
        <f t="shared" si="3"/>
        <v>3.4</v>
      </c>
    </row>
    <row r="46" spans="1:29" ht="15" thickBot="1" x14ac:dyDescent="0.35">
      <c r="A46" s="5">
        <v>3</v>
      </c>
      <c r="B46" s="5" t="s">
        <v>148</v>
      </c>
      <c r="C46" s="5">
        <v>2</v>
      </c>
      <c r="D46" s="5">
        <v>3</v>
      </c>
      <c r="E46" s="5">
        <v>3</v>
      </c>
      <c r="F46" s="5">
        <v>4</v>
      </c>
      <c r="G46" s="5">
        <v>4</v>
      </c>
      <c r="H46" s="5">
        <v>4</v>
      </c>
      <c r="I46" s="5">
        <v>3</v>
      </c>
      <c r="J46" s="5">
        <v>4</v>
      </c>
      <c r="K46" s="19">
        <f t="shared" si="0"/>
        <v>3.8</v>
      </c>
      <c r="L46" s="5">
        <v>3</v>
      </c>
      <c r="M46" s="5">
        <v>3</v>
      </c>
      <c r="N46" s="5">
        <v>5</v>
      </c>
      <c r="O46" s="5">
        <v>5</v>
      </c>
      <c r="P46" s="5">
        <v>4</v>
      </c>
      <c r="Q46" s="19">
        <f t="shared" si="1"/>
        <v>4</v>
      </c>
      <c r="R46" s="5">
        <v>1</v>
      </c>
      <c r="S46" s="5">
        <v>4</v>
      </c>
      <c r="T46" s="5">
        <v>4</v>
      </c>
      <c r="U46" s="5">
        <v>3</v>
      </c>
      <c r="V46" s="5">
        <v>4</v>
      </c>
      <c r="W46" s="19">
        <f t="shared" si="2"/>
        <v>3.2</v>
      </c>
      <c r="X46" s="5">
        <v>3</v>
      </c>
      <c r="Y46" s="5">
        <v>1</v>
      </c>
      <c r="Z46" s="5">
        <v>4</v>
      </c>
      <c r="AA46" s="5">
        <v>3</v>
      </c>
      <c r="AB46" s="6">
        <v>4</v>
      </c>
      <c r="AC46" s="20">
        <f t="shared" si="3"/>
        <v>3</v>
      </c>
    </row>
    <row r="47" spans="1:29" ht="15" thickBot="1" x14ac:dyDescent="0.35">
      <c r="A47" s="8">
        <v>1</v>
      </c>
      <c r="B47" s="8" t="s">
        <v>148</v>
      </c>
      <c r="C47" s="8">
        <v>1</v>
      </c>
      <c r="D47" s="8">
        <v>3</v>
      </c>
      <c r="E47" s="8">
        <v>3</v>
      </c>
      <c r="F47" s="8">
        <v>3</v>
      </c>
      <c r="G47" s="8">
        <v>4</v>
      </c>
      <c r="H47" s="8">
        <v>2</v>
      </c>
      <c r="I47" s="8">
        <v>2</v>
      </c>
      <c r="J47" s="8">
        <v>1</v>
      </c>
      <c r="K47" s="19">
        <f t="shared" si="0"/>
        <v>2.4</v>
      </c>
      <c r="L47" s="8">
        <v>3</v>
      </c>
      <c r="M47" s="8">
        <v>3</v>
      </c>
      <c r="N47" s="8">
        <v>1</v>
      </c>
      <c r="O47" s="8">
        <v>3</v>
      </c>
      <c r="P47" s="8">
        <v>2</v>
      </c>
      <c r="Q47" s="19">
        <f t="shared" si="1"/>
        <v>2.4</v>
      </c>
      <c r="R47" s="8">
        <v>2</v>
      </c>
      <c r="S47" s="8">
        <v>3</v>
      </c>
      <c r="T47" s="8">
        <v>2</v>
      </c>
      <c r="U47" s="8">
        <v>1</v>
      </c>
      <c r="V47" s="8">
        <v>1</v>
      </c>
      <c r="W47" s="19">
        <f t="shared" si="2"/>
        <v>1.8</v>
      </c>
      <c r="X47" s="8">
        <v>1</v>
      </c>
      <c r="Y47" s="8">
        <v>1</v>
      </c>
      <c r="Z47" s="8">
        <v>1</v>
      </c>
      <c r="AA47" s="8">
        <v>1</v>
      </c>
      <c r="AB47" s="9">
        <v>2</v>
      </c>
      <c r="AC47" s="20">
        <f t="shared" si="3"/>
        <v>1.2</v>
      </c>
    </row>
    <row r="48" spans="1:29" ht="15" thickBot="1" x14ac:dyDescent="0.35">
      <c r="A48" s="5">
        <v>1</v>
      </c>
      <c r="B48" s="5" t="s">
        <v>148</v>
      </c>
      <c r="C48" s="5">
        <v>1</v>
      </c>
      <c r="D48" s="5">
        <v>2</v>
      </c>
      <c r="E48" s="5">
        <v>1</v>
      </c>
      <c r="F48" s="5">
        <v>4</v>
      </c>
      <c r="G48" s="5">
        <v>5</v>
      </c>
      <c r="H48" s="5">
        <v>4</v>
      </c>
      <c r="I48" s="5">
        <v>5</v>
      </c>
      <c r="J48" s="5">
        <v>5</v>
      </c>
      <c r="K48" s="19">
        <f t="shared" si="0"/>
        <v>4.5999999999999996</v>
      </c>
      <c r="L48" s="5">
        <v>5</v>
      </c>
      <c r="M48" s="5">
        <v>5</v>
      </c>
      <c r="N48" s="5">
        <v>5</v>
      </c>
      <c r="O48" s="5">
        <v>5</v>
      </c>
      <c r="P48" s="5">
        <v>5</v>
      </c>
      <c r="Q48" s="19">
        <f t="shared" si="1"/>
        <v>5</v>
      </c>
      <c r="R48" s="5">
        <v>5</v>
      </c>
      <c r="S48" s="5">
        <v>5</v>
      </c>
      <c r="T48" s="5">
        <v>5</v>
      </c>
      <c r="U48" s="5">
        <v>5</v>
      </c>
      <c r="V48" s="5">
        <v>5</v>
      </c>
      <c r="W48" s="19">
        <f t="shared" si="2"/>
        <v>5</v>
      </c>
      <c r="X48" s="5">
        <v>5</v>
      </c>
      <c r="Y48" s="5">
        <v>5</v>
      </c>
      <c r="Z48" s="5">
        <v>5</v>
      </c>
      <c r="AA48" s="5">
        <v>5</v>
      </c>
      <c r="AB48" s="6">
        <v>5</v>
      </c>
      <c r="AC48" s="20">
        <f t="shared" si="3"/>
        <v>5</v>
      </c>
    </row>
    <row r="49" spans="1:29" ht="15" thickBot="1" x14ac:dyDescent="0.35">
      <c r="A49" s="8">
        <v>2</v>
      </c>
      <c r="B49" s="8" t="s">
        <v>148</v>
      </c>
      <c r="C49" s="8">
        <v>2</v>
      </c>
      <c r="D49" s="8">
        <v>1</v>
      </c>
      <c r="E49" s="8">
        <v>5</v>
      </c>
      <c r="F49" s="8">
        <v>5</v>
      </c>
      <c r="G49" s="8">
        <v>5</v>
      </c>
      <c r="H49" s="8">
        <v>5</v>
      </c>
      <c r="I49" s="8">
        <v>5</v>
      </c>
      <c r="J49" s="8">
        <v>5</v>
      </c>
      <c r="K49" s="19">
        <f t="shared" si="0"/>
        <v>5</v>
      </c>
      <c r="L49" s="8">
        <v>5</v>
      </c>
      <c r="M49" s="8">
        <v>5</v>
      </c>
      <c r="N49" s="8">
        <v>5</v>
      </c>
      <c r="O49" s="8">
        <v>5</v>
      </c>
      <c r="P49" s="8">
        <v>5</v>
      </c>
      <c r="Q49" s="19">
        <f t="shared" si="1"/>
        <v>5</v>
      </c>
      <c r="R49" s="8">
        <v>5</v>
      </c>
      <c r="S49" s="8">
        <v>5</v>
      </c>
      <c r="T49" s="8">
        <v>5</v>
      </c>
      <c r="U49" s="8">
        <v>5</v>
      </c>
      <c r="V49" s="8">
        <v>5</v>
      </c>
      <c r="W49" s="19">
        <f t="shared" si="2"/>
        <v>5</v>
      </c>
      <c r="X49" s="8">
        <v>5</v>
      </c>
      <c r="Y49" s="8">
        <v>5</v>
      </c>
      <c r="Z49" s="8">
        <v>5</v>
      </c>
      <c r="AA49" s="8">
        <v>5</v>
      </c>
      <c r="AB49" s="9">
        <v>5</v>
      </c>
      <c r="AC49" s="20">
        <f t="shared" si="3"/>
        <v>5</v>
      </c>
    </row>
    <row r="50" spans="1:29" ht="15" thickBot="1" x14ac:dyDescent="0.35">
      <c r="A50" s="5">
        <v>3</v>
      </c>
      <c r="B50" s="5" t="s">
        <v>149</v>
      </c>
      <c r="C50" s="5">
        <v>3</v>
      </c>
      <c r="D50" s="5">
        <v>4</v>
      </c>
      <c r="E50" s="5">
        <v>5</v>
      </c>
      <c r="F50" s="5">
        <v>5</v>
      </c>
      <c r="G50" s="5">
        <v>5</v>
      </c>
      <c r="H50" s="5">
        <v>5</v>
      </c>
      <c r="I50" s="5">
        <v>5</v>
      </c>
      <c r="J50" s="5">
        <v>5</v>
      </c>
      <c r="K50" s="19">
        <f t="shared" si="0"/>
        <v>5</v>
      </c>
      <c r="L50" s="5">
        <v>5</v>
      </c>
      <c r="M50" s="5">
        <v>5</v>
      </c>
      <c r="N50" s="5">
        <v>5</v>
      </c>
      <c r="O50" s="5">
        <v>5</v>
      </c>
      <c r="P50" s="5">
        <v>5</v>
      </c>
      <c r="Q50" s="19">
        <f t="shared" si="1"/>
        <v>5</v>
      </c>
      <c r="R50" s="5">
        <v>5</v>
      </c>
      <c r="S50" s="5">
        <v>5</v>
      </c>
      <c r="T50" s="5">
        <v>5</v>
      </c>
      <c r="U50" s="5">
        <v>5</v>
      </c>
      <c r="V50" s="5">
        <v>5</v>
      </c>
      <c r="W50" s="19">
        <f t="shared" si="2"/>
        <v>5</v>
      </c>
      <c r="X50" s="5">
        <v>5</v>
      </c>
      <c r="Y50" s="5">
        <v>5</v>
      </c>
      <c r="Z50" s="5">
        <v>5</v>
      </c>
      <c r="AA50" s="5">
        <v>5</v>
      </c>
      <c r="AB50" s="6">
        <v>5</v>
      </c>
      <c r="AC50" s="20">
        <f t="shared" si="3"/>
        <v>5</v>
      </c>
    </row>
    <row r="51" spans="1:29" ht="15" thickBot="1" x14ac:dyDescent="0.35">
      <c r="A51" s="8">
        <v>4</v>
      </c>
      <c r="B51" s="8" t="s">
        <v>148</v>
      </c>
      <c r="C51" s="8">
        <v>3</v>
      </c>
      <c r="D51" s="8">
        <v>1</v>
      </c>
      <c r="E51" s="8">
        <v>5</v>
      </c>
      <c r="F51" s="8">
        <v>3</v>
      </c>
      <c r="G51" s="8">
        <v>3</v>
      </c>
      <c r="H51" s="8">
        <v>3</v>
      </c>
      <c r="I51" s="8">
        <v>3</v>
      </c>
      <c r="J51" s="8">
        <v>3</v>
      </c>
      <c r="K51" s="19">
        <f t="shared" si="0"/>
        <v>3</v>
      </c>
      <c r="L51" s="8">
        <v>3</v>
      </c>
      <c r="M51" s="8">
        <v>3</v>
      </c>
      <c r="N51" s="8">
        <v>3</v>
      </c>
      <c r="O51" s="8">
        <v>3</v>
      </c>
      <c r="P51" s="8">
        <v>3</v>
      </c>
      <c r="Q51" s="19">
        <f t="shared" si="1"/>
        <v>3</v>
      </c>
      <c r="R51" s="8">
        <v>3</v>
      </c>
      <c r="S51" s="8">
        <v>3</v>
      </c>
      <c r="T51" s="8">
        <v>3</v>
      </c>
      <c r="U51" s="8">
        <v>3</v>
      </c>
      <c r="V51" s="8">
        <v>3</v>
      </c>
      <c r="W51" s="19">
        <f t="shared" si="2"/>
        <v>3</v>
      </c>
      <c r="X51" s="8">
        <v>3</v>
      </c>
      <c r="Y51" s="8">
        <v>3</v>
      </c>
      <c r="Z51" s="8">
        <v>3</v>
      </c>
      <c r="AA51" s="8">
        <v>3</v>
      </c>
      <c r="AB51" s="9">
        <v>3</v>
      </c>
      <c r="AC51" s="20">
        <f t="shared" si="3"/>
        <v>3</v>
      </c>
    </row>
    <row r="52" spans="1:29" ht="15" thickBot="1" x14ac:dyDescent="0.35">
      <c r="A52" s="5">
        <v>1</v>
      </c>
      <c r="B52" s="5" t="s">
        <v>149</v>
      </c>
      <c r="C52" s="5">
        <v>1</v>
      </c>
      <c r="D52" s="5">
        <v>2</v>
      </c>
      <c r="E52" s="5">
        <v>1</v>
      </c>
      <c r="F52" s="5">
        <v>4</v>
      </c>
      <c r="G52" s="5">
        <v>4</v>
      </c>
      <c r="H52" s="5">
        <v>3</v>
      </c>
      <c r="I52" s="5">
        <v>4</v>
      </c>
      <c r="J52" s="5">
        <v>5</v>
      </c>
      <c r="K52" s="19">
        <f t="shared" si="0"/>
        <v>4</v>
      </c>
      <c r="L52" s="5">
        <v>3</v>
      </c>
      <c r="M52" s="5">
        <v>4</v>
      </c>
      <c r="N52" s="5">
        <v>4</v>
      </c>
      <c r="O52" s="5">
        <v>4</v>
      </c>
      <c r="P52" s="5">
        <v>4</v>
      </c>
      <c r="Q52" s="19">
        <f t="shared" si="1"/>
        <v>3.8</v>
      </c>
      <c r="R52" s="5">
        <v>5</v>
      </c>
      <c r="S52" s="5">
        <v>4</v>
      </c>
      <c r="T52" s="5">
        <v>4</v>
      </c>
      <c r="U52" s="5">
        <v>4</v>
      </c>
      <c r="V52" s="5">
        <v>3</v>
      </c>
      <c r="W52" s="19">
        <f t="shared" si="2"/>
        <v>4</v>
      </c>
      <c r="X52" s="5">
        <v>3</v>
      </c>
      <c r="Y52" s="5">
        <v>4</v>
      </c>
      <c r="Z52" s="5">
        <v>4</v>
      </c>
      <c r="AA52" s="5">
        <v>4</v>
      </c>
      <c r="AB52" s="6">
        <v>3</v>
      </c>
      <c r="AC52" s="20">
        <f t="shared" si="3"/>
        <v>3.6</v>
      </c>
    </row>
    <row r="53" spans="1:29" ht="15" thickBot="1" x14ac:dyDescent="0.35">
      <c r="A53" s="8">
        <v>2</v>
      </c>
      <c r="B53" s="8" t="s">
        <v>148</v>
      </c>
      <c r="C53" s="8">
        <v>1</v>
      </c>
      <c r="D53" s="8">
        <v>1</v>
      </c>
      <c r="E53" s="8">
        <v>3</v>
      </c>
      <c r="F53" s="8">
        <v>2</v>
      </c>
      <c r="G53" s="8">
        <v>3</v>
      </c>
      <c r="H53" s="8">
        <v>2</v>
      </c>
      <c r="I53" s="8">
        <v>2</v>
      </c>
      <c r="J53" s="8">
        <v>1</v>
      </c>
      <c r="K53" s="19">
        <f t="shared" si="0"/>
        <v>2</v>
      </c>
      <c r="L53" s="8">
        <v>1</v>
      </c>
      <c r="M53" s="8">
        <v>1</v>
      </c>
      <c r="N53" s="8">
        <v>2</v>
      </c>
      <c r="O53" s="8">
        <v>2</v>
      </c>
      <c r="P53" s="8">
        <v>3</v>
      </c>
      <c r="Q53" s="19">
        <f t="shared" si="1"/>
        <v>1.8</v>
      </c>
      <c r="R53" s="8">
        <v>2</v>
      </c>
      <c r="S53" s="8">
        <v>3</v>
      </c>
      <c r="T53" s="8">
        <v>2</v>
      </c>
      <c r="U53" s="8">
        <v>3</v>
      </c>
      <c r="V53" s="8">
        <v>2</v>
      </c>
      <c r="W53" s="19">
        <f t="shared" si="2"/>
        <v>2.4</v>
      </c>
      <c r="X53" s="8">
        <v>1</v>
      </c>
      <c r="Y53" s="8">
        <v>1</v>
      </c>
      <c r="Z53" s="8">
        <v>1</v>
      </c>
      <c r="AA53" s="8">
        <v>1</v>
      </c>
      <c r="AB53" s="9">
        <v>2</v>
      </c>
      <c r="AC53" s="20">
        <f t="shared" si="3"/>
        <v>1.2</v>
      </c>
    </row>
    <row r="54" spans="1:29" ht="15" thickBot="1" x14ac:dyDescent="0.35">
      <c r="A54" s="5">
        <v>2</v>
      </c>
      <c r="B54" s="5" t="s">
        <v>149</v>
      </c>
      <c r="C54" s="5">
        <v>1</v>
      </c>
      <c r="D54" s="5">
        <v>4</v>
      </c>
      <c r="E54" s="5">
        <v>1</v>
      </c>
      <c r="F54" s="5">
        <v>5</v>
      </c>
      <c r="G54" s="5">
        <v>5</v>
      </c>
      <c r="H54" s="5">
        <v>5</v>
      </c>
      <c r="I54" s="5">
        <v>5</v>
      </c>
      <c r="J54" s="5">
        <v>5</v>
      </c>
      <c r="K54" s="19">
        <f t="shared" si="0"/>
        <v>5</v>
      </c>
      <c r="L54" s="5">
        <v>5</v>
      </c>
      <c r="M54" s="5">
        <v>5</v>
      </c>
      <c r="N54" s="5">
        <v>5</v>
      </c>
      <c r="O54" s="5">
        <v>5</v>
      </c>
      <c r="P54" s="5">
        <v>5</v>
      </c>
      <c r="Q54" s="19">
        <f t="shared" si="1"/>
        <v>5</v>
      </c>
      <c r="R54" s="5">
        <v>5</v>
      </c>
      <c r="S54" s="5">
        <v>5</v>
      </c>
      <c r="T54" s="5">
        <v>5</v>
      </c>
      <c r="U54" s="5">
        <v>5</v>
      </c>
      <c r="V54" s="5">
        <v>5</v>
      </c>
      <c r="W54" s="19">
        <f t="shared" si="2"/>
        <v>5</v>
      </c>
      <c r="X54" s="5">
        <v>5</v>
      </c>
      <c r="Y54" s="5">
        <v>5</v>
      </c>
      <c r="Z54" s="5">
        <v>5</v>
      </c>
      <c r="AA54" s="5">
        <v>5</v>
      </c>
      <c r="AB54" s="6">
        <v>5</v>
      </c>
      <c r="AC54" s="20">
        <f t="shared" si="3"/>
        <v>5</v>
      </c>
    </row>
    <row r="55" spans="1:29" ht="15" thickBot="1" x14ac:dyDescent="0.35">
      <c r="A55" s="8">
        <v>2</v>
      </c>
      <c r="B55" s="8" t="s">
        <v>149</v>
      </c>
      <c r="C55" s="8">
        <v>2</v>
      </c>
      <c r="D55" s="8">
        <v>1</v>
      </c>
      <c r="E55" s="8">
        <v>3</v>
      </c>
      <c r="F55" s="8">
        <v>4</v>
      </c>
      <c r="G55" s="8">
        <v>4</v>
      </c>
      <c r="H55" s="8">
        <v>4</v>
      </c>
      <c r="I55" s="8">
        <v>3</v>
      </c>
      <c r="J55" s="8">
        <v>4</v>
      </c>
      <c r="K55" s="19">
        <f t="shared" si="0"/>
        <v>3.8</v>
      </c>
      <c r="L55" s="8">
        <v>4</v>
      </c>
      <c r="M55" s="8">
        <v>4</v>
      </c>
      <c r="N55" s="8">
        <v>4</v>
      </c>
      <c r="O55" s="8">
        <v>4</v>
      </c>
      <c r="P55" s="8">
        <v>4</v>
      </c>
      <c r="Q55" s="19">
        <f t="shared" si="1"/>
        <v>4</v>
      </c>
      <c r="R55" s="8">
        <v>4</v>
      </c>
      <c r="S55" s="8">
        <v>4</v>
      </c>
      <c r="T55" s="8">
        <v>4</v>
      </c>
      <c r="U55" s="8">
        <v>4</v>
      </c>
      <c r="V55" s="8">
        <v>4</v>
      </c>
      <c r="W55" s="19">
        <f t="shared" si="2"/>
        <v>4</v>
      </c>
      <c r="X55" s="8">
        <v>4</v>
      </c>
      <c r="Y55" s="8">
        <v>4</v>
      </c>
      <c r="Z55" s="8">
        <v>4</v>
      </c>
      <c r="AA55" s="8">
        <v>4</v>
      </c>
      <c r="AB55" s="9">
        <v>4</v>
      </c>
      <c r="AC55" s="20">
        <f t="shared" si="3"/>
        <v>4</v>
      </c>
    </row>
    <row r="56" spans="1:29" ht="15" thickBot="1" x14ac:dyDescent="0.35">
      <c r="A56" s="5">
        <v>2</v>
      </c>
      <c r="B56" s="5" t="s">
        <v>149</v>
      </c>
      <c r="C56" s="5">
        <v>2</v>
      </c>
      <c r="D56" s="5">
        <v>2</v>
      </c>
      <c r="E56" s="5">
        <v>4</v>
      </c>
      <c r="F56" s="5">
        <v>3</v>
      </c>
      <c r="G56" s="5">
        <v>4</v>
      </c>
      <c r="H56" s="5">
        <v>3</v>
      </c>
      <c r="I56" s="5">
        <v>4</v>
      </c>
      <c r="J56" s="5">
        <v>3</v>
      </c>
      <c r="K56" s="19">
        <f t="shared" si="0"/>
        <v>3.4</v>
      </c>
      <c r="L56" s="5">
        <v>4</v>
      </c>
      <c r="M56" s="5">
        <v>3</v>
      </c>
      <c r="N56" s="5">
        <v>4</v>
      </c>
      <c r="O56" s="5">
        <v>3</v>
      </c>
      <c r="P56" s="5">
        <v>4</v>
      </c>
      <c r="Q56" s="19">
        <f t="shared" si="1"/>
        <v>3.6</v>
      </c>
      <c r="R56" s="5">
        <v>3</v>
      </c>
      <c r="S56" s="5">
        <v>4</v>
      </c>
      <c r="T56" s="5">
        <v>3</v>
      </c>
      <c r="U56" s="5">
        <v>4</v>
      </c>
      <c r="V56" s="5">
        <v>3</v>
      </c>
      <c r="W56" s="19">
        <f t="shared" si="2"/>
        <v>3.4</v>
      </c>
      <c r="X56" s="5">
        <v>4</v>
      </c>
      <c r="Y56" s="5">
        <v>3</v>
      </c>
      <c r="Z56" s="5">
        <v>4</v>
      </c>
      <c r="AA56" s="5">
        <v>3</v>
      </c>
      <c r="AB56" s="6">
        <v>4</v>
      </c>
      <c r="AC56" s="20">
        <f t="shared" si="3"/>
        <v>3.6</v>
      </c>
    </row>
    <row r="57" spans="1:29" ht="15" thickBot="1" x14ac:dyDescent="0.35">
      <c r="A57" s="8">
        <v>3</v>
      </c>
      <c r="B57" s="8" t="s">
        <v>148</v>
      </c>
      <c r="C57" s="8">
        <v>3</v>
      </c>
      <c r="D57" s="8">
        <v>1</v>
      </c>
      <c r="E57" s="8">
        <v>5</v>
      </c>
      <c r="F57" s="8">
        <v>3</v>
      </c>
      <c r="G57" s="8">
        <v>3</v>
      </c>
      <c r="H57" s="8">
        <v>3</v>
      </c>
      <c r="I57" s="8">
        <v>3</v>
      </c>
      <c r="J57" s="8">
        <v>3</v>
      </c>
      <c r="K57" s="19">
        <f t="shared" si="0"/>
        <v>3</v>
      </c>
      <c r="L57" s="8">
        <v>3</v>
      </c>
      <c r="M57" s="8">
        <v>3</v>
      </c>
      <c r="N57" s="8">
        <v>3</v>
      </c>
      <c r="O57" s="8">
        <v>3</v>
      </c>
      <c r="P57" s="8">
        <v>3</v>
      </c>
      <c r="Q57" s="19">
        <f t="shared" si="1"/>
        <v>3</v>
      </c>
      <c r="R57" s="8">
        <v>3</v>
      </c>
      <c r="S57" s="8">
        <v>3</v>
      </c>
      <c r="T57" s="8">
        <v>3</v>
      </c>
      <c r="U57" s="8">
        <v>3</v>
      </c>
      <c r="V57" s="8">
        <v>3</v>
      </c>
      <c r="W57" s="19">
        <f t="shared" si="2"/>
        <v>3</v>
      </c>
      <c r="X57" s="8">
        <v>3</v>
      </c>
      <c r="Y57" s="8">
        <v>3</v>
      </c>
      <c r="Z57" s="8">
        <v>3</v>
      </c>
      <c r="AA57" s="8">
        <v>3</v>
      </c>
      <c r="AB57" s="9">
        <v>3</v>
      </c>
      <c r="AC57" s="20">
        <f t="shared" si="3"/>
        <v>3</v>
      </c>
    </row>
    <row r="58" spans="1:29" ht="15" thickBot="1" x14ac:dyDescent="0.35">
      <c r="A58" s="5">
        <v>4</v>
      </c>
      <c r="B58" s="5" t="s">
        <v>148</v>
      </c>
      <c r="C58" s="5">
        <v>2</v>
      </c>
      <c r="D58" s="5">
        <v>1</v>
      </c>
      <c r="E58" s="5">
        <v>5</v>
      </c>
      <c r="F58" s="5">
        <v>5</v>
      </c>
      <c r="G58" s="5">
        <v>1</v>
      </c>
      <c r="H58" s="5">
        <v>5</v>
      </c>
      <c r="I58" s="5">
        <v>5</v>
      </c>
      <c r="J58" s="5">
        <v>5</v>
      </c>
      <c r="K58" s="19">
        <f t="shared" si="0"/>
        <v>4.2</v>
      </c>
      <c r="L58" s="5">
        <v>5</v>
      </c>
      <c r="M58" s="5">
        <v>5</v>
      </c>
      <c r="N58" s="5">
        <v>5</v>
      </c>
      <c r="O58" s="5">
        <v>5</v>
      </c>
      <c r="P58" s="5">
        <v>5</v>
      </c>
      <c r="Q58" s="19">
        <f t="shared" si="1"/>
        <v>5</v>
      </c>
      <c r="R58" s="5">
        <v>5</v>
      </c>
      <c r="S58" s="5">
        <v>5</v>
      </c>
      <c r="T58" s="5">
        <v>5</v>
      </c>
      <c r="U58" s="5">
        <v>5</v>
      </c>
      <c r="V58" s="5">
        <v>5</v>
      </c>
      <c r="W58" s="19">
        <f t="shared" si="2"/>
        <v>5</v>
      </c>
      <c r="X58" s="5">
        <v>5</v>
      </c>
      <c r="Y58" s="5">
        <v>5</v>
      </c>
      <c r="Z58" s="5">
        <v>5</v>
      </c>
      <c r="AA58" s="5">
        <v>5</v>
      </c>
      <c r="AB58" s="6">
        <v>5</v>
      </c>
      <c r="AC58" s="20">
        <f t="shared" si="3"/>
        <v>5</v>
      </c>
    </row>
    <row r="59" spans="1:29" ht="15" thickBot="1" x14ac:dyDescent="0.35">
      <c r="A59" s="8">
        <v>2</v>
      </c>
      <c r="B59" s="8" t="s">
        <v>149</v>
      </c>
      <c r="C59" s="8">
        <v>3</v>
      </c>
      <c r="D59" s="8">
        <v>4</v>
      </c>
      <c r="E59" s="8">
        <v>5</v>
      </c>
      <c r="F59" s="8">
        <v>5</v>
      </c>
      <c r="G59" s="8">
        <v>5</v>
      </c>
      <c r="H59" s="8">
        <v>5</v>
      </c>
      <c r="I59" s="8">
        <v>5</v>
      </c>
      <c r="J59" s="8">
        <v>5</v>
      </c>
      <c r="K59" s="19">
        <f t="shared" si="0"/>
        <v>5</v>
      </c>
      <c r="L59" s="8">
        <v>5</v>
      </c>
      <c r="M59" s="8">
        <v>5</v>
      </c>
      <c r="N59" s="8">
        <v>5</v>
      </c>
      <c r="O59" s="8">
        <v>5</v>
      </c>
      <c r="P59" s="8">
        <v>5</v>
      </c>
      <c r="Q59" s="19">
        <f t="shared" si="1"/>
        <v>5</v>
      </c>
      <c r="R59" s="8">
        <v>5</v>
      </c>
      <c r="S59" s="8">
        <v>5</v>
      </c>
      <c r="T59" s="8">
        <v>5</v>
      </c>
      <c r="U59" s="8">
        <v>5</v>
      </c>
      <c r="V59" s="8">
        <v>5</v>
      </c>
      <c r="W59" s="19">
        <f t="shared" si="2"/>
        <v>5</v>
      </c>
      <c r="X59" s="8">
        <v>5</v>
      </c>
      <c r="Y59" s="8">
        <v>5</v>
      </c>
      <c r="Z59" s="8">
        <v>5</v>
      </c>
      <c r="AA59" s="8">
        <v>5</v>
      </c>
      <c r="AB59" s="9">
        <v>5</v>
      </c>
      <c r="AC59" s="20">
        <f t="shared" si="3"/>
        <v>5</v>
      </c>
    </row>
    <row r="60" spans="1:29" ht="15" thickBot="1" x14ac:dyDescent="0.35">
      <c r="A60" s="5">
        <v>3</v>
      </c>
      <c r="B60" s="5" t="s">
        <v>149</v>
      </c>
      <c r="C60" s="5">
        <v>3</v>
      </c>
      <c r="D60" s="5">
        <v>4</v>
      </c>
      <c r="E60" s="5">
        <v>5</v>
      </c>
      <c r="F60" s="5">
        <v>3</v>
      </c>
      <c r="G60" s="5">
        <v>4</v>
      </c>
      <c r="H60" s="5">
        <v>4</v>
      </c>
      <c r="I60" s="5">
        <v>2</v>
      </c>
      <c r="J60" s="5">
        <v>4</v>
      </c>
      <c r="K60" s="19">
        <f t="shared" si="0"/>
        <v>3.4</v>
      </c>
      <c r="L60" s="5">
        <v>2</v>
      </c>
      <c r="M60" s="5">
        <v>1</v>
      </c>
      <c r="N60" s="5">
        <v>2</v>
      </c>
      <c r="O60" s="5">
        <v>3</v>
      </c>
      <c r="P60" s="5">
        <v>4</v>
      </c>
      <c r="Q60" s="19">
        <f t="shared" si="1"/>
        <v>2.4</v>
      </c>
      <c r="R60" s="5">
        <v>4</v>
      </c>
      <c r="S60" s="5">
        <v>4</v>
      </c>
      <c r="T60" s="5">
        <v>4</v>
      </c>
      <c r="U60" s="5">
        <v>4</v>
      </c>
      <c r="V60" s="5">
        <v>4</v>
      </c>
      <c r="W60" s="19">
        <f t="shared" si="2"/>
        <v>4</v>
      </c>
      <c r="X60" s="5">
        <v>4</v>
      </c>
      <c r="Y60" s="5">
        <v>4</v>
      </c>
      <c r="Z60" s="5">
        <v>4</v>
      </c>
      <c r="AA60" s="5">
        <v>4</v>
      </c>
      <c r="AB60" s="6">
        <v>4</v>
      </c>
      <c r="AC60" s="20">
        <f t="shared" si="3"/>
        <v>4</v>
      </c>
    </row>
    <row r="61" spans="1:29" ht="15" thickBot="1" x14ac:dyDescent="0.35">
      <c r="A61" s="8">
        <v>2</v>
      </c>
      <c r="B61" s="8" t="s">
        <v>148</v>
      </c>
      <c r="C61" s="8">
        <v>2</v>
      </c>
      <c r="D61" s="8">
        <v>4</v>
      </c>
      <c r="E61" s="8">
        <v>5</v>
      </c>
      <c r="F61" s="8">
        <v>4</v>
      </c>
      <c r="G61" s="8">
        <v>5</v>
      </c>
      <c r="H61" s="8">
        <v>4</v>
      </c>
      <c r="I61" s="8">
        <v>3</v>
      </c>
      <c r="J61" s="8">
        <v>3</v>
      </c>
      <c r="K61" s="19">
        <f t="shared" si="0"/>
        <v>3.8</v>
      </c>
      <c r="L61" s="8">
        <v>4</v>
      </c>
      <c r="M61" s="8">
        <v>5</v>
      </c>
      <c r="N61" s="8">
        <v>5</v>
      </c>
      <c r="O61" s="8">
        <v>4</v>
      </c>
      <c r="P61" s="8">
        <v>4</v>
      </c>
      <c r="Q61" s="19">
        <f t="shared" si="1"/>
        <v>4.4000000000000004</v>
      </c>
      <c r="R61" s="8">
        <v>4</v>
      </c>
      <c r="S61" s="8">
        <v>4</v>
      </c>
      <c r="T61" s="8">
        <v>4</v>
      </c>
      <c r="U61" s="8">
        <v>4</v>
      </c>
      <c r="V61" s="8">
        <v>4</v>
      </c>
      <c r="W61" s="19">
        <f t="shared" si="2"/>
        <v>4</v>
      </c>
      <c r="X61" s="8">
        <v>3</v>
      </c>
      <c r="Y61" s="8">
        <v>4</v>
      </c>
      <c r="Z61" s="8">
        <v>3</v>
      </c>
      <c r="AA61" s="8">
        <v>4</v>
      </c>
      <c r="AB61" s="9">
        <v>4</v>
      </c>
      <c r="AC61" s="20">
        <f t="shared" si="3"/>
        <v>3.6</v>
      </c>
    </row>
    <row r="62" spans="1:29" ht="15" thickBot="1" x14ac:dyDescent="0.35">
      <c r="A62" s="5">
        <v>2</v>
      </c>
      <c r="B62" s="5" t="s">
        <v>148</v>
      </c>
      <c r="C62" s="5">
        <v>2</v>
      </c>
      <c r="D62" s="5">
        <v>1</v>
      </c>
      <c r="E62" s="5">
        <v>2</v>
      </c>
      <c r="F62" s="5">
        <v>3</v>
      </c>
      <c r="G62" s="5">
        <v>2</v>
      </c>
      <c r="H62" s="5">
        <v>4</v>
      </c>
      <c r="I62" s="5">
        <v>5</v>
      </c>
      <c r="J62" s="5">
        <v>3</v>
      </c>
      <c r="K62" s="19">
        <f t="shared" si="0"/>
        <v>3.4</v>
      </c>
      <c r="L62" s="5">
        <v>4</v>
      </c>
      <c r="M62" s="5">
        <v>2</v>
      </c>
      <c r="N62" s="5">
        <v>5</v>
      </c>
      <c r="O62" s="5">
        <v>4</v>
      </c>
      <c r="P62" s="5">
        <v>4</v>
      </c>
      <c r="Q62" s="19">
        <f t="shared" si="1"/>
        <v>3.8</v>
      </c>
      <c r="R62" s="5">
        <v>4</v>
      </c>
      <c r="S62" s="5">
        <v>3</v>
      </c>
      <c r="T62" s="5">
        <v>3</v>
      </c>
      <c r="U62" s="5">
        <v>4</v>
      </c>
      <c r="V62" s="5">
        <v>4</v>
      </c>
      <c r="W62" s="19">
        <f t="shared" si="2"/>
        <v>3.6</v>
      </c>
      <c r="X62" s="5">
        <v>5</v>
      </c>
      <c r="Y62" s="5">
        <v>4</v>
      </c>
      <c r="Z62" s="5">
        <v>3</v>
      </c>
      <c r="AA62" s="5">
        <v>3</v>
      </c>
      <c r="AB62" s="6">
        <v>1</v>
      </c>
      <c r="AC62" s="20">
        <f t="shared" si="3"/>
        <v>3.2</v>
      </c>
    </row>
    <row r="63" spans="1:29" ht="15" thickBot="1" x14ac:dyDescent="0.35">
      <c r="A63" s="8">
        <v>2</v>
      </c>
      <c r="B63" s="8" t="s">
        <v>148</v>
      </c>
      <c r="C63" s="8">
        <v>1</v>
      </c>
      <c r="D63" s="8">
        <v>3</v>
      </c>
      <c r="E63" s="8">
        <v>1</v>
      </c>
      <c r="F63" s="8">
        <v>4</v>
      </c>
      <c r="G63" s="8">
        <v>4</v>
      </c>
      <c r="H63" s="8">
        <v>4</v>
      </c>
      <c r="I63" s="8">
        <v>4</v>
      </c>
      <c r="J63" s="8">
        <v>4</v>
      </c>
      <c r="K63" s="19">
        <f t="shared" si="0"/>
        <v>4</v>
      </c>
      <c r="L63" s="8">
        <v>4</v>
      </c>
      <c r="M63" s="8">
        <v>4</v>
      </c>
      <c r="N63" s="8">
        <v>4</v>
      </c>
      <c r="O63" s="8">
        <v>4</v>
      </c>
      <c r="P63" s="8">
        <v>4</v>
      </c>
      <c r="Q63" s="19">
        <f t="shared" si="1"/>
        <v>4</v>
      </c>
      <c r="R63" s="8">
        <v>4</v>
      </c>
      <c r="S63" s="8">
        <v>3</v>
      </c>
      <c r="T63" s="8">
        <v>4</v>
      </c>
      <c r="U63" s="8">
        <v>4</v>
      </c>
      <c r="V63" s="8">
        <v>4</v>
      </c>
      <c r="W63" s="19">
        <f t="shared" si="2"/>
        <v>3.8</v>
      </c>
      <c r="X63" s="8">
        <v>4</v>
      </c>
      <c r="Y63" s="8">
        <v>4</v>
      </c>
      <c r="Z63" s="8">
        <v>4</v>
      </c>
      <c r="AA63" s="8">
        <v>4</v>
      </c>
      <c r="AB63" s="9">
        <v>4</v>
      </c>
      <c r="AC63" s="20">
        <f t="shared" si="3"/>
        <v>4</v>
      </c>
    </row>
    <row r="64" spans="1:29" ht="15" thickBot="1" x14ac:dyDescent="0.35">
      <c r="A64" s="5">
        <v>1</v>
      </c>
      <c r="B64" s="5" t="s">
        <v>148</v>
      </c>
      <c r="C64" s="5">
        <v>1</v>
      </c>
      <c r="D64" s="5">
        <v>1</v>
      </c>
      <c r="E64" s="5">
        <v>1</v>
      </c>
      <c r="F64" s="5">
        <v>3</v>
      </c>
      <c r="G64" s="5">
        <v>3</v>
      </c>
      <c r="H64" s="5">
        <v>3</v>
      </c>
      <c r="I64" s="5">
        <v>3</v>
      </c>
      <c r="J64" s="5">
        <v>3</v>
      </c>
      <c r="K64" s="19">
        <f t="shared" si="0"/>
        <v>3</v>
      </c>
      <c r="L64" s="5">
        <v>3</v>
      </c>
      <c r="M64" s="5">
        <v>3</v>
      </c>
      <c r="N64" s="5">
        <v>3</v>
      </c>
      <c r="O64" s="5">
        <v>3</v>
      </c>
      <c r="P64" s="5">
        <v>3</v>
      </c>
      <c r="Q64" s="19">
        <f t="shared" si="1"/>
        <v>3</v>
      </c>
      <c r="R64" s="5">
        <v>3</v>
      </c>
      <c r="S64" s="5">
        <v>3</v>
      </c>
      <c r="T64" s="5">
        <v>3</v>
      </c>
      <c r="U64" s="5">
        <v>3</v>
      </c>
      <c r="V64" s="5">
        <v>3</v>
      </c>
      <c r="W64" s="19">
        <f t="shared" si="2"/>
        <v>3</v>
      </c>
      <c r="X64" s="5">
        <v>3</v>
      </c>
      <c r="Y64" s="5">
        <v>3</v>
      </c>
      <c r="Z64" s="5">
        <v>3</v>
      </c>
      <c r="AA64" s="5">
        <v>3</v>
      </c>
      <c r="AB64" s="6">
        <v>3</v>
      </c>
      <c r="AC64" s="20">
        <f t="shared" si="3"/>
        <v>3</v>
      </c>
    </row>
    <row r="65" spans="1:29" ht="15" thickBot="1" x14ac:dyDescent="0.35">
      <c r="A65" s="8">
        <v>2</v>
      </c>
      <c r="B65" s="8" t="s">
        <v>149</v>
      </c>
      <c r="C65" s="8">
        <v>3</v>
      </c>
      <c r="D65" s="8">
        <v>4</v>
      </c>
      <c r="E65" s="8">
        <v>5</v>
      </c>
      <c r="F65" s="8">
        <v>5</v>
      </c>
      <c r="G65" s="8">
        <v>5</v>
      </c>
      <c r="H65" s="8">
        <v>2</v>
      </c>
      <c r="I65" s="8">
        <v>5</v>
      </c>
      <c r="J65" s="8">
        <v>2</v>
      </c>
      <c r="K65" s="19">
        <f t="shared" si="0"/>
        <v>3.8</v>
      </c>
      <c r="L65" s="8">
        <v>5</v>
      </c>
      <c r="M65" s="8">
        <v>2</v>
      </c>
      <c r="N65" s="8">
        <v>1</v>
      </c>
      <c r="O65" s="8">
        <v>1</v>
      </c>
      <c r="P65" s="8">
        <v>2</v>
      </c>
      <c r="Q65" s="19">
        <f t="shared" si="1"/>
        <v>2.2000000000000002</v>
      </c>
      <c r="R65" s="8">
        <v>2</v>
      </c>
      <c r="S65" s="8">
        <v>4</v>
      </c>
      <c r="T65" s="8">
        <v>4</v>
      </c>
      <c r="U65" s="8">
        <v>4</v>
      </c>
      <c r="V65" s="8">
        <v>4</v>
      </c>
      <c r="W65" s="19">
        <f t="shared" si="2"/>
        <v>3.6</v>
      </c>
      <c r="X65" s="8">
        <v>1</v>
      </c>
      <c r="Y65" s="8">
        <v>1</v>
      </c>
      <c r="Z65" s="8">
        <v>1</v>
      </c>
      <c r="AA65" s="8">
        <v>1</v>
      </c>
      <c r="AB65" s="9">
        <v>1</v>
      </c>
      <c r="AC65" s="20">
        <f t="shared" si="3"/>
        <v>1</v>
      </c>
    </row>
    <row r="66" spans="1:29" ht="15" thickBot="1" x14ac:dyDescent="0.35">
      <c r="A66" s="5">
        <v>2</v>
      </c>
      <c r="B66" s="5" t="s">
        <v>148</v>
      </c>
      <c r="C66" s="5">
        <v>2</v>
      </c>
      <c r="D66" s="5">
        <v>2</v>
      </c>
      <c r="E66" s="5">
        <v>1</v>
      </c>
      <c r="F66" s="5">
        <v>2</v>
      </c>
      <c r="G66" s="5">
        <v>3</v>
      </c>
      <c r="H66" s="5">
        <v>4</v>
      </c>
      <c r="I66" s="5">
        <v>4</v>
      </c>
      <c r="J66" s="5">
        <v>2</v>
      </c>
      <c r="K66" s="19">
        <f t="shared" si="0"/>
        <v>3</v>
      </c>
      <c r="L66" s="5">
        <v>4</v>
      </c>
      <c r="M66" s="5">
        <v>4</v>
      </c>
      <c r="N66" s="5">
        <v>2</v>
      </c>
      <c r="O66" s="5">
        <v>4</v>
      </c>
      <c r="P66" s="5">
        <v>1</v>
      </c>
      <c r="Q66" s="19">
        <f t="shared" si="1"/>
        <v>3</v>
      </c>
      <c r="R66" s="5">
        <v>5</v>
      </c>
      <c r="S66" s="5">
        <v>4</v>
      </c>
      <c r="T66" s="5">
        <v>4</v>
      </c>
      <c r="U66" s="5">
        <v>5</v>
      </c>
      <c r="V66" s="5">
        <v>5</v>
      </c>
      <c r="W66" s="19">
        <f t="shared" si="2"/>
        <v>4.5999999999999996</v>
      </c>
      <c r="X66" s="5">
        <v>3</v>
      </c>
      <c r="Y66" s="5">
        <v>4</v>
      </c>
      <c r="Z66" s="5">
        <v>4</v>
      </c>
      <c r="AA66" s="5">
        <v>4</v>
      </c>
      <c r="AB66" s="6">
        <v>1</v>
      </c>
      <c r="AC66" s="20">
        <f t="shared" si="3"/>
        <v>3.2</v>
      </c>
    </row>
    <row r="67" spans="1:29" ht="15" thickBot="1" x14ac:dyDescent="0.35">
      <c r="A67" s="8">
        <v>2</v>
      </c>
      <c r="B67" s="8" t="s">
        <v>149</v>
      </c>
      <c r="C67" s="8">
        <v>2</v>
      </c>
      <c r="D67" s="8">
        <v>2</v>
      </c>
      <c r="E67" s="8">
        <v>1</v>
      </c>
      <c r="F67" s="8">
        <v>4</v>
      </c>
      <c r="G67" s="8">
        <v>4</v>
      </c>
      <c r="H67" s="8">
        <v>4</v>
      </c>
      <c r="I67" s="8">
        <v>4</v>
      </c>
      <c r="J67" s="8">
        <v>4</v>
      </c>
      <c r="K67" s="19">
        <f t="shared" ref="K67:K105" si="4">AVERAGE(F67:J67)</f>
        <v>4</v>
      </c>
      <c r="L67" s="8">
        <v>4</v>
      </c>
      <c r="M67" s="8">
        <v>4</v>
      </c>
      <c r="N67" s="8">
        <v>4</v>
      </c>
      <c r="O67" s="8">
        <v>4</v>
      </c>
      <c r="P67" s="8">
        <v>4</v>
      </c>
      <c r="Q67" s="19">
        <f t="shared" ref="Q67:Q105" si="5">AVERAGE(L67:P67)</f>
        <v>4</v>
      </c>
      <c r="R67" s="8">
        <v>4</v>
      </c>
      <c r="S67" s="8">
        <v>4</v>
      </c>
      <c r="T67" s="8">
        <v>4</v>
      </c>
      <c r="U67" s="8">
        <v>4</v>
      </c>
      <c r="V67" s="8">
        <v>4</v>
      </c>
      <c r="W67" s="19">
        <f t="shared" ref="W67:W105" si="6">AVERAGE(R67:V67)</f>
        <v>4</v>
      </c>
      <c r="X67" s="8">
        <v>4</v>
      </c>
      <c r="Y67" s="8">
        <v>4</v>
      </c>
      <c r="Z67" s="8">
        <v>4</v>
      </c>
      <c r="AA67" s="8">
        <v>4</v>
      </c>
      <c r="AB67" s="9">
        <v>3</v>
      </c>
      <c r="AC67" s="20">
        <f t="shared" ref="AC67:AC105" si="7">AVERAGE(X67:AB67)</f>
        <v>3.8</v>
      </c>
    </row>
    <row r="68" spans="1:29" ht="15" thickBot="1" x14ac:dyDescent="0.35">
      <c r="A68" s="5">
        <v>2</v>
      </c>
      <c r="B68" s="5" t="s">
        <v>148</v>
      </c>
      <c r="C68" s="5">
        <v>2</v>
      </c>
      <c r="D68" s="5">
        <v>2</v>
      </c>
      <c r="E68" s="5">
        <v>1</v>
      </c>
      <c r="F68" s="5">
        <v>4</v>
      </c>
      <c r="G68" s="5">
        <v>5</v>
      </c>
      <c r="H68" s="5">
        <v>4</v>
      </c>
      <c r="I68" s="5">
        <v>3</v>
      </c>
      <c r="J68" s="5">
        <v>4</v>
      </c>
      <c r="K68" s="19">
        <f t="shared" si="4"/>
        <v>4</v>
      </c>
      <c r="L68" s="5">
        <v>5</v>
      </c>
      <c r="M68" s="5">
        <v>5</v>
      </c>
      <c r="N68" s="5">
        <v>5</v>
      </c>
      <c r="O68" s="5">
        <v>4</v>
      </c>
      <c r="P68" s="5">
        <v>5</v>
      </c>
      <c r="Q68" s="19">
        <f t="shared" si="5"/>
        <v>4.8</v>
      </c>
      <c r="R68" s="5">
        <v>3</v>
      </c>
      <c r="S68" s="5">
        <v>4</v>
      </c>
      <c r="T68" s="5">
        <v>5</v>
      </c>
      <c r="U68" s="5">
        <v>5</v>
      </c>
      <c r="V68" s="5">
        <v>4</v>
      </c>
      <c r="W68" s="19">
        <f t="shared" si="6"/>
        <v>4.2</v>
      </c>
      <c r="X68" s="5">
        <v>4</v>
      </c>
      <c r="Y68" s="5">
        <v>5</v>
      </c>
      <c r="Z68" s="5">
        <v>4</v>
      </c>
      <c r="AA68" s="5">
        <v>3</v>
      </c>
      <c r="AB68" s="6">
        <v>5</v>
      </c>
      <c r="AC68" s="20">
        <f t="shared" si="7"/>
        <v>4.2</v>
      </c>
    </row>
    <row r="69" spans="1:29" ht="15" thickBot="1" x14ac:dyDescent="0.35">
      <c r="A69" s="8">
        <v>2</v>
      </c>
      <c r="B69" s="8" t="s">
        <v>148</v>
      </c>
      <c r="C69" s="8">
        <v>2</v>
      </c>
      <c r="D69" s="8">
        <v>1</v>
      </c>
      <c r="E69" s="8">
        <v>1</v>
      </c>
      <c r="F69" s="8">
        <v>3</v>
      </c>
      <c r="G69" s="8">
        <v>3</v>
      </c>
      <c r="H69" s="8">
        <v>4</v>
      </c>
      <c r="I69" s="8">
        <v>4</v>
      </c>
      <c r="J69" s="8">
        <v>4</v>
      </c>
      <c r="K69" s="19">
        <f t="shared" si="4"/>
        <v>3.6</v>
      </c>
      <c r="L69" s="8">
        <v>4</v>
      </c>
      <c r="M69" s="8">
        <v>4</v>
      </c>
      <c r="N69" s="8">
        <v>3</v>
      </c>
      <c r="O69" s="8">
        <v>3</v>
      </c>
      <c r="P69" s="8">
        <v>4</v>
      </c>
      <c r="Q69" s="19">
        <f t="shared" si="5"/>
        <v>3.6</v>
      </c>
      <c r="R69" s="8">
        <v>4</v>
      </c>
      <c r="S69" s="8">
        <v>4</v>
      </c>
      <c r="T69" s="8">
        <v>4</v>
      </c>
      <c r="U69" s="8">
        <v>4</v>
      </c>
      <c r="V69" s="8">
        <v>4</v>
      </c>
      <c r="W69" s="19">
        <f t="shared" si="6"/>
        <v>4</v>
      </c>
      <c r="X69" s="8">
        <v>4</v>
      </c>
      <c r="Y69" s="8">
        <v>3</v>
      </c>
      <c r="Z69" s="8">
        <v>4</v>
      </c>
      <c r="AA69" s="8">
        <v>4</v>
      </c>
      <c r="AB69" s="9">
        <v>5</v>
      </c>
      <c r="AC69" s="20">
        <f t="shared" si="7"/>
        <v>4</v>
      </c>
    </row>
    <row r="70" spans="1:29" ht="15" thickBot="1" x14ac:dyDescent="0.35">
      <c r="A70" s="5">
        <v>2</v>
      </c>
      <c r="B70" s="5" t="s">
        <v>148</v>
      </c>
      <c r="C70" s="5">
        <v>2</v>
      </c>
      <c r="D70" s="5">
        <v>2</v>
      </c>
      <c r="E70" s="5">
        <v>5</v>
      </c>
      <c r="F70" s="5">
        <v>4</v>
      </c>
      <c r="G70" s="5">
        <v>5</v>
      </c>
      <c r="H70" s="5">
        <v>5</v>
      </c>
      <c r="I70" s="5">
        <v>4</v>
      </c>
      <c r="J70" s="5">
        <v>4</v>
      </c>
      <c r="K70" s="19">
        <f t="shared" si="4"/>
        <v>4.4000000000000004</v>
      </c>
      <c r="L70" s="5">
        <v>5</v>
      </c>
      <c r="M70" s="5">
        <v>4</v>
      </c>
      <c r="N70" s="5">
        <v>5</v>
      </c>
      <c r="O70" s="5">
        <v>5</v>
      </c>
      <c r="P70" s="5">
        <v>4</v>
      </c>
      <c r="Q70" s="19">
        <f t="shared" si="5"/>
        <v>4.5999999999999996</v>
      </c>
      <c r="R70" s="5">
        <v>4</v>
      </c>
      <c r="S70" s="5">
        <v>5</v>
      </c>
      <c r="T70" s="5">
        <v>5</v>
      </c>
      <c r="U70" s="5">
        <v>5</v>
      </c>
      <c r="V70" s="5">
        <v>4</v>
      </c>
      <c r="W70" s="19">
        <f t="shared" si="6"/>
        <v>4.5999999999999996</v>
      </c>
      <c r="X70" s="5">
        <v>4</v>
      </c>
      <c r="Y70" s="5">
        <v>4</v>
      </c>
      <c r="Z70" s="5">
        <v>4</v>
      </c>
      <c r="AA70" s="5">
        <v>4</v>
      </c>
      <c r="AB70" s="6">
        <v>5</v>
      </c>
      <c r="AC70" s="20">
        <f t="shared" si="7"/>
        <v>4.2</v>
      </c>
    </row>
    <row r="71" spans="1:29" ht="15" thickBot="1" x14ac:dyDescent="0.35">
      <c r="A71" s="8">
        <v>2</v>
      </c>
      <c r="B71" s="8" t="s">
        <v>149</v>
      </c>
      <c r="C71" s="8">
        <v>2</v>
      </c>
      <c r="D71" s="8">
        <v>3</v>
      </c>
      <c r="E71" s="8">
        <v>1</v>
      </c>
      <c r="F71" s="8">
        <v>5</v>
      </c>
      <c r="G71" s="8">
        <v>4</v>
      </c>
      <c r="H71" s="8">
        <v>4</v>
      </c>
      <c r="I71" s="8">
        <v>5</v>
      </c>
      <c r="J71" s="8">
        <v>4</v>
      </c>
      <c r="K71" s="19">
        <f t="shared" si="4"/>
        <v>4.4000000000000004</v>
      </c>
      <c r="L71" s="8">
        <v>5</v>
      </c>
      <c r="M71" s="8">
        <v>4</v>
      </c>
      <c r="N71" s="8">
        <v>5</v>
      </c>
      <c r="O71" s="8">
        <v>4</v>
      </c>
      <c r="P71" s="8">
        <v>4</v>
      </c>
      <c r="Q71" s="19">
        <f t="shared" si="5"/>
        <v>4.4000000000000004</v>
      </c>
      <c r="R71" s="8">
        <v>5</v>
      </c>
      <c r="S71" s="8">
        <v>4</v>
      </c>
      <c r="T71" s="8">
        <v>5</v>
      </c>
      <c r="U71" s="8">
        <v>5</v>
      </c>
      <c r="V71" s="8">
        <v>5</v>
      </c>
      <c r="W71" s="19">
        <f t="shared" si="6"/>
        <v>4.8</v>
      </c>
      <c r="X71" s="8">
        <v>4</v>
      </c>
      <c r="Y71" s="8">
        <v>4</v>
      </c>
      <c r="Z71" s="8">
        <v>5</v>
      </c>
      <c r="AA71" s="8">
        <v>4</v>
      </c>
      <c r="AB71" s="9">
        <v>4</v>
      </c>
      <c r="AC71" s="20">
        <f t="shared" si="7"/>
        <v>4.2</v>
      </c>
    </row>
    <row r="72" spans="1:29" ht="15" thickBot="1" x14ac:dyDescent="0.35">
      <c r="A72" s="5">
        <v>2</v>
      </c>
      <c r="B72" s="5" t="s">
        <v>148</v>
      </c>
      <c r="C72" s="5">
        <v>3</v>
      </c>
      <c r="D72" s="5">
        <v>2</v>
      </c>
      <c r="E72" s="5">
        <v>4</v>
      </c>
      <c r="F72" s="5">
        <v>3</v>
      </c>
      <c r="G72" s="5">
        <v>1</v>
      </c>
      <c r="H72" s="5">
        <v>1</v>
      </c>
      <c r="I72" s="5">
        <v>2</v>
      </c>
      <c r="J72" s="5">
        <v>2</v>
      </c>
      <c r="K72" s="19">
        <f t="shared" si="4"/>
        <v>1.8</v>
      </c>
      <c r="L72" s="5">
        <v>1</v>
      </c>
      <c r="M72" s="5">
        <v>2</v>
      </c>
      <c r="N72" s="5">
        <v>1</v>
      </c>
      <c r="O72" s="5">
        <v>5</v>
      </c>
      <c r="P72" s="5">
        <v>5</v>
      </c>
      <c r="Q72" s="19">
        <f t="shared" si="5"/>
        <v>2.8</v>
      </c>
      <c r="R72" s="5">
        <v>5</v>
      </c>
      <c r="S72" s="5">
        <v>1</v>
      </c>
      <c r="T72" s="5">
        <v>1</v>
      </c>
      <c r="U72" s="5">
        <v>3</v>
      </c>
      <c r="V72" s="5">
        <v>1</v>
      </c>
      <c r="W72" s="19">
        <f t="shared" si="6"/>
        <v>2.2000000000000002</v>
      </c>
      <c r="X72" s="5">
        <v>3</v>
      </c>
      <c r="Y72" s="5">
        <v>4</v>
      </c>
      <c r="Z72" s="5">
        <v>3</v>
      </c>
      <c r="AA72" s="5">
        <v>3</v>
      </c>
      <c r="AB72" s="6">
        <v>3</v>
      </c>
      <c r="AC72" s="20">
        <f t="shared" si="7"/>
        <v>3.2</v>
      </c>
    </row>
    <row r="73" spans="1:29" ht="15" thickBot="1" x14ac:dyDescent="0.35">
      <c r="A73" s="8">
        <v>2</v>
      </c>
      <c r="B73" s="8" t="s">
        <v>148</v>
      </c>
      <c r="C73" s="8">
        <v>2</v>
      </c>
      <c r="D73" s="8">
        <v>1</v>
      </c>
      <c r="E73" s="8">
        <v>1</v>
      </c>
      <c r="F73" s="8">
        <v>3</v>
      </c>
      <c r="G73" s="8">
        <v>3</v>
      </c>
      <c r="H73" s="8">
        <v>3</v>
      </c>
      <c r="I73" s="8">
        <v>3</v>
      </c>
      <c r="J73" s="8">
        <v>3</v>
      </c>
      <c r="K73" s="19">
        <f t="shared" si="4"/>
        <v>3</v>
      </c>
      <c r="L73" s="8">
        <v>3</v>
      </c>
      <c r="M73" s="8">
        <v>3</v>
      </c>
      <c r="N73" s="8">
        <v>3</v>
      </c>
      <c r="O73" s="8">
        <v>3</v>
      </c>
      <c r="P73" s="8">
        <v>3</v>
      </c>
      <c r="Q73" s="19">
        <f t="shared" si="5"/>
        <v>3</v>
      </c>
      <c r="R73" s="8">
        <v>3</v>
      </c>
      <c r="S73" s="8">
        <v>3</v>
      </c>
      <c r="T73" s="8">
        <v>3</v>
      </c>
      <c r="U73" s="8">
        <v>3</v>
      </c>
      <c r="V73" s="8">
        <v>3</v>
      </c>
      <c r="W73" s="19">
        <f t="shared" si="6"/>
        <v>3</v>
      </c>
      <c r="X73" s="8">
        <v>3</v>
      </c>
      <c r="Y73" s="8">
        <v>3</v>
      </c>
      <c r="Z73" s="8">
        <v>3</v>
      </c>
      <c r="AA73" s="8">
        <v>3</v>
      </c>
      <c r="AB73" s="9">
        <v>3</v>
      </c>
      <c r="AC73" s="20">
        <f t="shared" si="7"/>
        <v>3</v>
      </c>
    </row>
    <row r="74" spans="1:29" ht="15" thickBot="1" x14ac:dyDescent="0.35">
      <c r="A74" s="5">
        <v>2</v>
      </c>
      <c r="B74" s="5" t="s">
        <v>149</v>
      </c>
      <c r="C74" s="5">
        <v>1</v>
      </c>
      <c r="D74" s="5">
        <v>1</v>
      </c>
      <c r="E74" s="5">
        <v>1</v>
      </c>
      <c r="F74" s="5">
        <v>3</v>
      </c>
      <c r="G74" s="5">
        <v>3</v>
      </c>
      <c r="H74" s="5">
        <v>3</v>
      </c>
      <c r="I74" s="5">
        <v>3</v>
      </c>
      <c r="J74" s="5">
        <v>4</v>
      </c>
      <c r="K74" s="19">
        <f t="shared" si="4"/>
        <v>3.2</v>
      </c>
      <c r="L74" s="5">
        <v>3</v>
      </c>
      <c r="M74" s="5">
        <v>4</v>
      </c>
      <c r="N74" s="5">
        <v>4</v>
      </c>
      <c r="O74" s="5">
        <v>3</v>
      </c>
      <c r="P74" s="5">
        <v>3</v>
      </c>
      <c r="Q74" s="19">
        <f t="shared" si="5"/>
        <v>3.4</v>
      </c>
      <c r="R74" s="5">
        <v>3</v>
      </c>
      <c r="S74" s="5">
        <v>3</v>
      </c>
      <c r="T74" s="5">
        <v>3</v>
      </c>
      <c r="U74" s="5">
        <v>3</v>
      </c>
      <c r="V74" s="5">
        <v>2</v>
      </c>
      <c r="W74" s="19">
        <f t="shared" si="6"/>
        <v>2.8</v>
      </c>
      <c r="X74" s="5">
        <v>2</v>
      </c>
      <c r="Y74" s="5">
        <v>4</v>
      </c>
      <c r="Z74" s="5">
        <v>2</v>
      </c>
      <c r="AA74" s="5">
        <v>2</v>
      </c>
      <c r="AB74" s="6">
        <v>3</v>
      </c>
      <c r="AC74" s="20">
        <f t="shared" si="7"/>
        <v>2.6</v>
      </c>
    </row>
    <row r="75" spans="1:29" ht="15" thickBot="1" x14ac:dyDescent="0.35">
      <c r="A75" s="8">
        <v>2</v>
      </c>
      <c r="B75" s="8" t="s">
        <v>148</v>
      </c>
      <c r="C75" s="8">
        <v>2</v>
      </c>
      <c r="D75" s="8">
        <v>3</v>
      </c>
      <c r="E75" s="8">
        <v>1</v>
      </c>
      <c r="F75" s="8">
        <v>4</v>
      </c>
      <c r="G75" s="8">
        <v>3</v>
      </c>
      <c r="H75" s="8">
        <v>3</v>
      </c>
      <c r="I75" s="8">
        <v>3</v>
      </c>
      <c r="J75" s="8">
        <v>1</v>
      </c>
      <c r="K75" s="19">
        <f t="shared" si="4"/>
        <v>2.8</v>
      </c>
      <c r="L75" s="8">
        <v>4</v>
      </c>
      <c r="M75" s="8">
        <v>2</v>
      </c>
      <c r="N75" s="8">
        <v>3</v>
      </c>
      <c r="O75" s="8">
        <v>3</v>
      </c>
      <c r="P75" s="8">
        <v>4</v>
      </c>
      <c r="Q75" s="19">
        <f t="shared" si="5"/>
        <v>3.2</v>
      </c>
      <c r="R75" s="8">
        <v>4</v>
      </c>
      <c r="S75" s="8">
        <v>4</v>
      </c>
      <c r="T75" s="8">
        <v>4</v>
      </c>
      <c r="U75" s="8">
        <v>4</v>
      </c>
      <c r="V75" s="8">
        <v>4</v>
      </c>
      <c r="W75" s="19">
        <f t="shared" si="6"/>
        <v>4</v>
      </c>
      <c r="X75" s="8">
        <v>4</v>
      </c>
      <c r="Y75" s="8">
        <v>4</v>
      </c>
      <c r="Z75" s="8">
        <v>3</v>
      </c>
      <c r="AA75" s="8">
        <v>4</v>
      </c>
      <c r="AB75" s="9">
        <v>4</v>
      </c>
      <c r="AC75" s="20">
        <f t="shared" si="7"/>
        <v>3.8</v>
      </c>
    </row>
    <row r="76" spans="1:29" ht="15" thickBot="1" x14ac:dyDescent="0.35">
      <c r="A76" s="5">
        <v>2</v>
      </c>
      <c r="B76" s="5" t="s">
        <v>149</v>
      </c>
      <c r="C76" s="5">
        <v>2</v>
      </c>
      <c r="D76" s="5">
        <v>2</v>
      </c>
      <c r="E76" s="5">
        <v>2</v>
      </c>
      <c r="F76" s="5">
        <v>3</v>
      </c>
      <c r="G76" s="5">
        <v>3</v>
      </c>
      <c r="H76" s="5">
        <v>4</v>
      </c>
      <c r="I76" s="5">
        <v>4</v>
      </c>
      <c r="J76" s="5">
        <v>1</v>
      </c>
      <c r="K76" s="19">
        <f t="shared" si="4"/>
        <v>3</v>
      </c>
      <c r="L76" s="5">
        <v>3</v>
      </c>
      <c r="M76" s="5">
        <v>4</v>
      </c>
      <c r="N76" s="5">
        <v>5</v>
      </c>
      <c r="O76" s="5">
        <v>4</v>
      </c>
      <c r="P76" s="5">
        <v>4</v>
      </c>
      <c r="Q76" s="19">
        <f t="shared" si="5"/>
        <v>4</v>
      </c>
      <c r="R76" s="5">
        <v>4</v>
      </c>
      <c r="S76" s="5">
        <v>3</v>
      </c>
      <c r="T76" s="5">
        <v>4</v>
      </c>
      <c r="U76" s="5">
        <v>5</v>
      </c>
      <c r="V76" s="5">
        <v>4</v>
      </c>
      <c r="W76" s="19">
        <f t="shared" si="6"/>
        <v>4</v>
      </c>
      <c r="X76" s="5">
        <v>3</v>
      </c>
      <c r="Y76" s="5">
        <v>5</v>
      </c>
      <c r="Z76" s="5">
        <v>4</v>
      </c>
      <c r="AA76" s="5">
        <v>5</v>
      </c>
      <c r="AB76" s="6">
        <v>3</v>
      </c>
      <c r="AC76" s="20">
        <f t="shared" si="7"/>
        <v>4</v>
      </c>
    </row>
    <row r="77" spans="1:29" ht="15" thickBot="1" x14ac:dyDescent="0.35">
      <c r="A77" s="8">
        <v>2</v>
      </c>
      <c r="B77" s="8" t="s">
        <v>149</v>
      </c>
      <c r="C77" s="8">
        <v>1</v>
      </c>
      <c r="D77" s="8">
        <v>2</v>
      </c>
      <c r="E77" s="8">
        <v>1</v>
      </c>
      <c r="F77" s="8">
        <v>4</v>
      </c>
      <c r="G77" s="8">
        <v>3</v>
      </c>
      <c r="H77" s="8">
        <v>4</v>
      </c>
      <c r="I77" s="8">
        <v>4</v>
      </c>
      <c r="J77" s="8">
        <v>4</v>
      </c>
      <c r="K77" s="19">
        <f t="shared" si="4"/>
        <v>3.8</v>
      </c>
      <c r="L77" s="8">
        <v>4</v>
      </c>
      <c r="M77" s="8">
        <v>4</v>
      </c>
      <c r="N77" s="8">
        <v>3</v>
      </c>
      <c r="O77" s="8">
        <v>4</v>
      </c>
      <c r="P77" s="8">
        <v>5</v>
      </c>
      <c r="Q77" s="19">
        <f t="shared" si="5"/>
        <v>4</v>
      </c>
      <c r="R77" s="8">
        <v>5</v>
      </c>
      <c r="S77" s="8">
        <v>4</v>
      </c>
      <c r="T77" s="8">
        <v>4</v>
      </c>
      <c r="U77" s="8">
        <v>4</v>
      </c>
      <c r="V77" s="8">
        <v>3</v>
      </c>
      <c r="W77" s="19">
        <f t="shared" si="6"/>
        <v>4</v>
      </c>
      <c r="X77" s="8">
        <v>4</v>
      </c>
      <c r="Y77" s="8">
        <v>4</v>
      </c>
      <c r="Z77" s="8">
        <v>5</v>
      </c>
      <c r="AA77" s="8">
        <v>4</v>
      </c>
      <c r="AB77" s="9">
        <v>4</v>
      </c>
      <c r="AC77" s="20">
        <f t="shared" si="7"/>
        <v>4.2</v>
      </c>
    </row>
    <row r="78" spans="1:29" ht="15" thickBot="1" x14ac:dyDescent="0.35">
      <c r="A78" s="5">
        <v>2</v>
      </c>
      <c r="B78" s="5" t="s">
        <v>149</v>
      </c>
      <c r="C78" s="5">
        <v>1</v>
      </c>
      <c r="D78" s="5">
        <v>2</v>
      </c>
      <c r="E78" s="5">
        <v>1</v>
      </c>
      <c r="F78" s="5">
        <v>3</v>
      </c>
      <c r="G78" s="5">
        <v>3</v>
      </c>
      <c r="H78" s="5">
        <v>4</v>
      </c>
      <c r="I78" s="5">
        <v>4</v>
      </c>
      <c r="J78" s="5">
        <v>3</v>
      </c>
      <c r="K78" s="19">
        <f t="shared" si="4"/>
        <v>3.4</v>
      </c>
      <c r="L78" s="5">
        <v>4</v>
      </c>
      <c r="M78" s="5">
        <v>4</v>
      </c>
      <c r="N78" s="5">
        <v>3</v>
      </c>
      <c r="O78" s="5">
        <v>4</v>
      </c>
      <c r="P78" s="5">
        <v>3</v>
      </c>
      <c r="Q78" s="19">
        <f t="shared" si="5"/>
        <v>3.6</v>
      </c>
      <c r="R78" s="5">
        <v>3</v>
      </c>
      <c r="S78" s="5">
        <v>4</v>
      </c>
      <c r="T78" s="5">
        <v>4</v>
      </c>
      <c r="U78" s="5">
        <v>3</v>
      </c>
      <c r="V78" s="5">
        <v>4</v>
      </c>
      <c r="W78" s="19">
        <f t="shared" si="6"/>
        <v>3.6</v>
      </c>
      <c r="X78" s="5">
        <v>4</v>
      </c>
      <c r="Y78" s="5">
        <v>4</v>
      </c>
      <c r="Z78" s="5">
        <v>3</v>
      </c>
      <c r="AA78" s="5">
        <v>3</v>
      </c>
      <c r="AB78" s="6">
        <v>3</v>
      </c>
      <c r="AC78" s="20">
        <f t="shared" si="7"/>
        <v>3.4</v>
      </c>
    </row>
    <row r="79" spans="1:29" ht="15" thickBot="1" x14ac:dyDescent="0.35">
      <c r="A79" s="8">
        <v>2</v>
      </c>
      <c r="B79" s="8" t="s">
        <v>149</v>
      </c>
      <c r="C79" s="8">
        <v>2</v>
      </c>
      <c r="D79" s="8">
        <v>4</v>
      </c>
      <c r="E79" s="8">
        <v>1</v>
      </c>
      <c r="F79" s="8">
        <v>5</v>
      </c>
      <c r="G79" s="8">
        <v>5</v>
      </c>
      <c r="H79" s="8">
        <v>5</v>
      </c>
      <c r="I79" s="8">
        <v>5</v>
      </c>
      <c r="J79" s="8">
        <v>5</v>
      </c>
      <c r="K79" s="19">
        <f t="shared" si="4"/>
        <v>5</v>
      </c>
      <c r="L79" s="8">
        <v>5</v>
      </c>
      <c r="M79" s="8">
        <v>5</v>
      </c>
      <c r="N79" s="8">
        <v>5</v>
      </c>
      <c r="O79" s="8">
        <v>5</v>
      </c>
      <c r="P79" s="8">
        <v>5</v>
      </c>
      <c r="Q79" s="19">
        <f t="shared" si="5"/>
        <v>5</v>
      </c>
      <c r="R79" s="8">
        <v>5</v>
      </c>
      <c r="S79" s="8">
        <v>5</v>
      </c>
      <c r="T79" s="8">
        <v>5</v>
      </c>
      <c r="U79" s="8">
        <v>5</v>
      </c>
      <c r="V79" s="8">
        <v>5</v>
      </c>
      <c r="W79" s="19">
        <f t="shared" si="6"/>
        <v>5</v>
      </c>
      <c r="X79" s="8">
        <v>5</v>
      </c>
      <c r="Y79" s="8">
        <v>5</v>
      </c>
      <c r="Z79" s="8">
        <v>5</v>
      </c>
      <c r="AA79" s="8">
        <v>5</v>
      </c>
      <c r="AB79" s="9">
        <v>5</v>
      </c>
      <c r="AC79" s="20">
        <f t="shared" si="7"/>
        <v>5</v>
      </c>
    </row>
    <row r="80" spans="1:29" ht="15" thickBot="1" x14ac:dyDescent="0.35">
      <c r="A80" s="5">
        <v>2</v>
      </c>
      <c r="B80" s="5" t="s">
        <v>148</v>
      </c>
      <c r="C80" s="5">
        <v>2</v>
      </c>
      <c r="D80" s="5">
        <v>2</v>
      </c>
      <c r="E80" s="5">
        <v>5</v>
      </c>
      <c r="F80" s="5">
        <v>4</v>
      </c>
      <c r="G80" s="5">
        <v>5</v>
      </c>
      <c r="H80" s="5">
        <v>5</v>
      </c>
      <c r="I80" s="5">
        <v>4</v>
      </c>
      <c r="J80" s="5">
        <v>5</v>
      </c>
      <c r="K80" s="19">
        <f t="shared" si="4"/>
        <v>4.5999999999999996</v>
      </c>
      <c r="L80" s="5">
        <v>5</v>
      </c>
      <c r="M80" s="5">
        <v>4</v>
      </c>
      <c r="N80" s="5">
        <v>4</v>
      </c>
      <c r="O80" s="5">
        <v>4</v>
      </c>
      <c r="P80" s="5">
        <v>5</v>
      </c>
      <c r="Q80" s="19">
        <f t="shared" si="5"/>
        <v>4.4000000000000004</v>
      </c>
      <c r="R80" s="5">
        <v>5</v>
      </c>
      <c r="S80" s="5">
        <v>5</v>
      </c>
      <c r="T80" s="5">
        <v>4</v>
      </c>
      <c r="U80" s="5">
        <v>4</v>
      </c>
      <c r="V80" s="5">
        <v>4</v>
      </c>
      <c r="W80" s="19">
        <f t="shared" si="6"/>
        <v>4.4000000000000004</v>
      </c>
      <c r="X80" s="5">
        <v>4</v>
      </c>
      <c r="Y80" s="5">
        <v>5</v>
      </c>
      <c r="Z80" s="5">
        <v>4</v>
      </c>
      <c r="AA80" s="5">
        <v>5</v>
      </c>
      <c r="AB80" s="6">
        <v>3</v>
      </c>
      <c r="AC80" s="20">
        <f t="shared" si="7"/>
        <v>4.2</v>
      </c>
    </row>
    <row r="81" spans="1:29" ht="15" thickBot="1" x14ac:dyDescent="0.35">
      <c r="A81" s="8">
        <v>2</v>
      </c>
      <c r="B81" s="8" t="s">
        <v>149</v>
      </c>
      <c r="C81" s="8">
        <v>2</v>
      </c>
      <c r="D81" s="8">
        <v>2</v>
      </c>
      <c r="E81" s="8">
        <v>2</v>
      </c>
      <c r="F81" s="8">
        <v>5</v>
      </c>
      <c r="G81" s="8">
        <v>5</v>
      </c>
      <c r="H81" s="8">
        <v>4</v>
      </c>
      <c r="I81" s="8">
        <v>4</v>
      </c>
      <c r="J81" s="8">
        <v>3</v>
      </c>
      <c r="K81" s="19">
        <f t="shared" si="4"/>
        <v>4.2</v>
      </c>
      <c r="L81" s="8">
        <v>3</v>
      </c>
      <c r="M81" s="8">
        <v>4</v>
      </c>
      <c r="N81" s="8">
        <v>5</v>
      </c>
      <c r="O81" s="8">
        <v>4</v>
      </c>
      <c r="P81" s="8">
        <v>3</v>
      </c>
      <c r="Q81" s="19">
        <f t="shared" si="5"/>
        <v>3.8</v>
      </c>
      <c r="R81" s="8">
        <v>3</v>
      </c>
      <c r="S81" s="8">
        <v>4</v>
      </c>
      <c r="T81" s="8">
        <v>4</v>
      </c>
      <c r="U81" s="8">
        <v>5</v>
      </c>
      <c r="V81" s="8">
        <v>4</v>
      </c>
      <c r="W81" s="19">
        <f t="shared" si="6"/>
        <v>4</v>
      </c>
      <c r="X81" s="8">
        <v>5</v>
      </c>
      <c r="Y81" s="8">
        <v>1</v>
      </c>
      <c r="Z81" s="8">
        <v>4</v>
      </c>
      <c r="AA81" s="8">
        <v>1</v>
      </c>
      <c r="AB81" s="9">
        <v>1</v>
      </c>
      <c r="AC81" s="20">
        <f t="shared" si="7"/>
        <v>2.4</v>
      </c>
    </row>
    <row r="82" spans="1:29" ht="15" thickBot="1" x14ac:dyDescent="0.35">
      <c r="A82" s="5">
        <v>2</v>
      </c>
      <c r="B82" s="5" t="s">
        <v>149</v>
      </c>
      <c r="C82" s="5">
        <v>3</v>
      </c>
      <c r="D82" s="5">
        <v>2</v>
      </c>
      <c r="E82" s="5">
        <v>1</v>
      </c>
      <c r="F82" s="5">
        <v>4</v>
      </c>
      <c r="G82" s="5">
        <v>5</v>
      </c>
      <c r="H82" s="5">
        <v>4</v>
      </c>
      <c r="I82" s="5">
        <v>4</v>
      </c>
      <c r="J82" s="5">
        <v>5</v>
      </c>
      <c r="K82" s="19">
        <f t="shared" si="4"/>
        <v>4.4000000000000004</v>
      </c>
      <c r="L82" s="5">
        <v>3</v>
      </c>
      <c r="M82" s="5">
        <v>4</v>
      </c>
      <c r="N82" s="5">
        <v>4</v>
      </c>
      <c r="O82" s="5">
        <v>3</v>
      </c>
      <c r="P82" s="5">
        <v>4</v>
      </c>
      <c r="Q82" s="19">
        <f t="shared" si="5"/>
        <v>3.6</v>
      </c>
      <c r="R82" s="5">
        <v>4</v>
      </c>
      <c r="S82" s="5">
        <v>3</v>
      </c>
      <c r="T82" s="5">
        <v>4</v>
      </c>
      <c r="U82" s="5">
        <v>4</v>
      </c>
      <c r="V82" s="5">
        <v>4</v>
      </c>
      <c r="W82" s="19">
        <f t="shared" si="6"/>
        <v>3.8</v>
      </c>
      <c r="X82" s="5">
        <v>4</v>
      </c>
      <c r="Y82" s="5">
        <v>4</v>
      </c>
      <c r="Z82" s="5">
        <v>5</v>
      </c>
      <c r="AA82" s="5">
        <v>3</v>
      </c>
      <c r="AB82" s="6">
        <v>3</v>
      </c>
      <c r="AC82" s="20">
        <f t="shared" si="7"/>
        <v>3.8</v>
      </c>
    </row>
    <row r="83" spans="1:29" ht="15" thickBot="1" x14ac:dyDescent="0.35">
      <c r="A83" s="8">
        <v>2</v>
      </c>
      <c r="B83" s="8" t="s">
        <v>149</v>
      </c>
      <c r="C83" s="8">
        <v>2</v>
      </c>
      <c r="D83" s="8">
        <v>1</v>
      </c>
      <c r="E83" s="8">
        <v>1</v>
      </c>
      <c r="F83" s="8">
        <v>4</v>
      </c>
      <c r="G83" s="8">
        <v>4</v>
      </c>
      <c r="H83" s="8">
        <v>4</v>
      </c>
      <c r="I83" s="8">
        <v>4</v>
      </c>
      <c r="J83" s="8">
        <v>4</v>
      </c>
      <c r="K83" s="19">
        <f t="shared" si="4"/>
        <v>4</v>
      </c>
      <c r="L83" s="8">
        <v>4</v>
      </c>
      <c r="M83" s="8">
        <v>4</v>
      </c>
      <c r="N83" s="8">
        <v>4</v>
      </c>
      <c r="O83" s="8">
        <v>4</v>
      </c>
      <c r="P83" s="8">
        <v>3</v>
      </c>
      <c r="Q83" s="19">
        <f t="shared" si="5"/>
        <v>3.8</v>
      </c>
      <c r="R83" s="8">
        <v>3</v>
      </c>
      <c r="S83" s="8">
        <v>3</v>
      </c>
      <c r="T83" s="8">
        <v>4</v>
      </c>
      <c r="U83" s="8">
        <v>4</v>
      </c>
      <c r="V83" s="8">
        <v>4</v>
      </c>
      <c r="W83" s="19">
        <f t="shared" si="6"/>
        <v>3.6</v>
      </c>
      <c r="X83" s="8">
        <v>4</v>
      </c>
      <c r="Y83" s="8">
        <v>4</v>
      </c>
      <c r="Z83" s="8">
        <v>4</v>
      </c>
      <c r="AA83" s="8">
        <v>4</v>
      </c>
      <c r="AB83" s="9">
        <v>2</v>
      </c>
      <c r="AC83" s="20">
        <f t="shared" si="7"/>
        <v>3.6</v>
      </c>
    </row>
    <row r="84" spans="1:29" ht="15" thickBot="1" x14ac:dyDescent="0.35">
      <c r="A84" s="5">
        <v>2</v>
      </c>
      <c r="B84" s="5" t="s">
        <v>149</v>
      </c>
      <c r="C84" s="5">
        <v>1</v>
      </c>
      <c r="D84" s="5">
        <v>3</v>
      </c>
      <c r="E84" s="5">
        <v>1</v>
      </c>
      <c r="F84" s="5">
        <v>4</v>
      </c>
      <c r="G84" s="5">
        <v>3</v>
      </c>
      <c r="H84" s="5">
        <v>4</v>
      </c>
      <c r="I84" s="5">
        <v>3</v>
      </c>
      <c r="J84" s="5">
        <v>4</v>
      </c>
      <c r="K84" s="19">
        <f t="shared" si="4"/>
        <v>3.6</v>
      </c>
      <c r="L84" s="5">
        <v>2</v>
      </c>
      <c r="M84" s="5">
        <v>4</v>
      </c>
      <c r="N84" s="5">
        <v>3</v>
      </c>
      <c r="O84" s="5">
        <v>5</v>
      </c>
      <c r="P84" s="5">
        <v>4</v>
      </c>
      <c r="Q84" s="19">
        <f t="shared" si="5"/>
        <v>3.6</v>
      </c>
      <c r="R84" s="5">
        <v>5</v>
      </c>
      <c r="S84" s="5">
        <v>4</v>
      </c>
      <c r="T84" s="5">
        <v>5</v>
      </c>
      <c r="U84" s="5">
        <v>1</v>
      </c>
      <c r="V84" s="5">
        <v>4</v>
      </c>
      <c r="W84" s="19">
        <f t="shared" si="6"/>
        <v>3.8</v>
      </c>
      <c r="X84" s="5">
        <v>3</v>
      </c>
      <c r="Y84" s="5">
        <v>3</v>
      </c>
      <c r="Z84" s="5">
        <v>4</v>
      </c>
      <c r="AA84" s="5">
        <v>3</v>
      </c>
      <c r="AB84" s="6">
        <v>4</v>
      </c>
      <c r="AC84" s="20">
        <f t="shared" si="7"/>
        <v>3.4</v>
      </c>
    </row>
    <row r="85" spans="1:29" ht="15" thickBot="1" x14ac:dyDescent="0.35">
      <c r="A85" s="8">
        <v>2</v>
      </c>
      <c r="B85" s="8" t="s">
        <v>148</v>
      </c>
      <c r="C85" s="8">
        <v>2</v>
      </c>
      <c r="D85" s="8">
        <v>4</v>
      </c>
      <c r="E85" s="8">
        <v>2</v>
      </c>
      <c r="F85" s="8">
        <v>2</v>
      </c>
      <c r="G85" s="8">
        <v>4</v>
      </c>
      <c r="H85" s="8">
        <v>4</v>
      </c>
      <c r="I85" s="8">
        <v>4</v>
      </c>
      <c r="J85" s="8">
        <v>4</v>
      </c>
      <c r="K85" s="19">
        <f t="shared" si="4"/>
        <v>3.6</v>
      </c>
      <c r="L85" s="8">
        <v>3</v>
      </c>
      <c r="M85" s="8">
        <v>3</v>
      </c>
      <c r="N85" s="8">
        <v>4</v>
      </c>
      <c r="O85" s="8">
        <v>4</v>
      </c>
      <c r="P85" s="8">
        <v>2</v>
      </c>
      <c r="Q85" s="19">
        <f t="shared" si="5"/>
        <v>3.2</v>
      </c>
      <c r="R85" s="8">
        <v>4</v>
      </c>
      <c r="S85" s="8">
        <v>4</v>
      </c>
      <c r="T85" s="8">
        <v>5</v>
      </c>
      <c r="U85" s="8">
        <v>4</v>
      </c>
      <c r="V85" s="8">
        <v>2</v>
      </c>
      <c r="W85" s="19">
        <f t="shared" si="6"/>
        <v>3.8</v>
      </c>
      <c r="X85" s="8">
        <v>4</v>
      </c>
      <c r="Y85" s="8">
        <v>4</v>
      </c>
      <c r="Z85" s="8">
        <v>5</v>
      </c>
      <c r="AA85" s="8">
        <v>5</v>
      </c>
      <c r="AB85" s="9">
        <v>2</v>
      </c>
      <c r="AC85" s="20">
        <f t="shared" si="7"/>
        <v>4</v>
      </c>
    </row>
    <row r="86" spans="1:29" ht="15" thickBot="1" x14ac:dyDescent="0.35">
      <c r="A86" s="5">
        <v>2</v>
      </c>
      <c r="B86" s="5" t="s">
        <v>149</v>
      </c>
      <c r="C86" s="5">
        <v>1</v>
      </c>
      <c r="D86" s="5">
        <v>2</v>
      </c>
      <c r="E86" s="5">
        <v>1</v>
      </c>
      <c r="F86" s="5">
        <v>5</v>
      </c>
      <c r="G86" s="5">
        <v>5</v>
      </c>
      <c r="H86" s="5">
        <v>5</v>
      </c>
      <c r="I86" s="5">
        <v>5</v>
      </c>
      <c r="J86" s="5">
        <v>5</v>
      </c>
      <c r="K86" s="19">
        <f t="shared" si="4"/>
        <v>5</v>
      </c>
      <c r="L86" s="5">
        <v>5</v>
      </c>
      <c r="M86" s="5">
        <v>5</v>
      </c>
      <c r="N86" s="5">
        <v>5</v>
      </c>
      <c r="O86" s="5">
        <v>5</v>
      </c>
      <c r="P86" s="5">
        <v>5</v>
      </c>
      <c r="Q86" s="19">
        <f t="shared" si="5"/>
        <v>5</v>
      </c>
      <c r="R86" s="5">
        <v>5</v>
      </c>
      <c r="S86" s="5">
        <v>5</v>
      </c>
      <c r="T86" s="5">
        <v>5</v>
      </c>
      <c r="U86" s="5">
        <v>5</v>
      </c>
      <c r="V86" s="5">
        <v>5</v>
      </c>
      <c r="W86" s="19">
        <f t="shared" si="6"/>
        <v>5</v>
      </c>
      <c r="X86" s="5">
        <v>5</v>
      </c>
      <c r="Y86" s="5">
        <v>5</v>
      </c>
      <c r="Z86" s="5">
        <v>5</v>
      </c>
      <c r="AA86" s="5">
        <v>5</v>
      </c>
      <c r="AB86" s="6">
        <v>5</v>
      </c>
      <c r="AC86" s="20">
        <f t="shared" si="7"/>
        <v>5</v>
      </c>
    </row>
    <row r="87" spans="1:29" ht="15" thickBot="1" x14ac:dyDescent="0.35">
      <c r="A87" s="8">
        <v>2</v>
      </c>
      <c r="B87" s="8" t="s">
        <v>149</v>
      </c>
      <c r="C87" s="8">
        <v>2</v>
      </c>
      <c r="D87" s="8">
        <v>2</v>
      </c>
      <c r="E87" s="8">
        <v>1</v>
      </c>
      <c r="F87" s="8">
        <v>4</v>
      </c>
      <c r="G87" s="8">
        <v>4</v>
      </c>
      <c r="H87" s="8">
        <v>4</v>
      </c>
      <c r="I87" s="8">
        <v>4</v>
      </c>
      <c r="J87" s="8">
        <v>4</v>
      </c>
      <c r="K87" s="19">
        <f t="shared" si="4"/>
        <v>4</v>
      </c>
      <c r="L87" s="8">
        <v>4</v>
      </c>
      <c r="M87" s="8">
        <v>4</v>
      </c>
      <c r="N87" s="8">
        <v>4</v>
      </c>
      <c r="O87" s="8">
        <v>4</v>
      </c>
      <c r="P87" s="8">
        <v>4</v>
      </c>
      <c r="Q87" s="19">
        <f t="shared" si="5"/>
        <v>4</v>
      </c>
      <c r="R87" s="8">
        <v>4</v>
      </c>
      <c r="S87" s="8">
        <v>3</v>
      </c>
      <c r="T87" s="8">
        <v>2</v>
      </c>
      <c r="U87" s="8">
        <v>4</v>
      </c>
      <c r="V87" s="8">
        <v>4</v>
      </c>
      <c r="W87" s="19">
        <f t="shared" si="6"/>
        <v>3.4</v>
      </c>
      <c r="X87" s="8">
        <v>4</v>
      </c>
      <c r="Y87" s="8">
        <v>4</v>
      </c>
      <c r="Z87" s="8">
        <v>3</v>
      </c>
      <c r="AA87" s="8">
        <v>3</v>
      </c>
      <c r="AB87" s="9">
        <v>5</v>
      </c>
      <c r="AC87" s="20">
        <f t="shared" si="7"/>
        <v>3.8</v>
      </c>
    </row>
    <row r="88" spans="1:29" ht="15" thickBot="1" x14ac:dyDescent="0.35">
      <c r="A88" s="5">
        <v>2</v>
      </c>
      <c r="B88" s="5" t="s">
        <v>148</v>
      </c>
      <c r="C88" s="5">
        <v>2</v>
      </c>
      <c r="D88" s="5">
        <v>3</v>
      </c>
      <c r="E88" s="5">
        <v>1</v>
      </c>
      <c r="F88" s="5">
        <v>4</v>
      </c>
      <c r="G88" s="5">
        <v>4</v>
      </c>
      <c r="H88" s="5">
        <v>4</v>
      </c>
      <c r="I88" s="5">
        <v>4</v>
      </c>
      <c r="J88" s="5">
        <v>4</v>
      </c>
      <c r="K88" s="19">
        <f t="shared" si="4"/>
        <v>4</v>
      </c>
      <c r="L88" s="5">
        <v>4</v>
      </c>
      <c r="M88" s="5">
        <v>4</v>
      </c>
      <c r="N88" s="5">
        <v>4</v>
      </c>
      <c r="O88" s="5">
        <v>4</v>
      </c>
      <c r="P88" s="5">
        <v>4</v>
      </c>
      <c r="Q88" s="19">
        <f t="shared" si="5"/>
        <v>4</v>
      </c>
      <c r="R88" s="5">
        <v>4</v>
      </c>
      <c r="S88" s="5">
        <v>4</v>
      </c>
      <c r="T88" s="5">
        <v>4</v>
      </c>
      <c r="U88" s="5">
        <v>4</v>
      </c>
      <c r="V88" s="5">
        <v>4</v>
      </c>
      <c r="W88" s="19">
        <f t="shared" si="6"/>
        <v>4</v>
      </c>
      <c r="X88" s="5">
        <v>4</v>
      </c>
      <c r="Y88" s="5">
        <v>4</v>
      </c>
      <c r="Z88" s="5">
        <v>4</v>
      </c>
      <c r="AA88" s="5">
        <v>4</v>
      </c>
      <c r="AB88" s="6">
        <v>4</v>
      </c>
      <c r="AC88" s="20">
        <f t="shared" si="7"/>
        <v>4</v>
      </c>
    </row>
    <row r="89" spans="1:29" ht="15" thickBot="1" x14ac:dyDescent="0.35">
      <c r="A89" s="8">
        <v>2</v>
      </c>
      <c r="B89" s="8" t="s">
        <v>148</v>
      </c>
      <c r="C89" s="8">
        <v>2</v>
      </c>
      <c r="D89" s="8">
        <v>3</v>
      </c>
      <c r="E89" s="8">
        <v>2</v>
      </c>
      <c r="F89" s="8">
        <v>3</v>
      </c>
      <c r="G89" s="8">
        <v>4</v>
      </c>
      <c r="H89" s="8">
        <v>4</v>
      </c>
      <c r="I89" s="8">
        <v>4</v>
      </c>
      <c r="J89" s="8">
        <v>4</v>
      </c>
      <c r="K89" s="19">
        <f t="shared" si="4"/>
        <v>3.8</v>
      </c>
      <c r="L89" s="8">
        <v>3</v>
      </c>
      <c r="M89" s="8">
        <v>2</v>
      </c>
      <c r="N89" s="8">
        <v>3</v>
      </c>
      <c r="O89" s="8">
        <v>4</v>
      </c>
      <c r="P89" s="8">
        <v>3</v>
      </c>
      <c r="Q89" s="19">
        <f t="shared" si="5"/>
        <v>3</v>
      </c>
      <c r="R89" s="8">
        <v>5</v>
      </c>
      <c r="S89" s="8">
        <v>4</v>
      </c>
      <c r="T89" s="8">
        <v>5</v>
      </c>
      <c r="U89" s="8">
        <v>4</v>
      </c>
      <c r="V89" s="8">
        <v>5</v>
      </c>
      <c r="W89" s="19">
        <f t="shared" si="6"/>
        <v>4.5999999999999996</v>
      </c>
      <c r="X89" s="8">
        <v>5</v>
      </c>
      <c r="Y89" s="8">
        <v>4</v>
      </c>
      <c r="Z89" s="8">
        <v>4</v>
      </c>
      <c r="AA89" s="8">
        <v>4</v>
      </c>
      <c r="AB89" s="9">
        <v>4</v>
      </c>
      <c r="AC89" s="20">
        <f t="shared" si="7"/>
        <v>4.2</v>
      </c>
    </row>
    <row r="90" spans="1:29" ht="15" thickBot="1" x14ac:dyDescent="0.35">
      <c r="A90" s="5">
        <v>2</v>
      </c>
      <c r="B90" s="5" t="s">
        <v>148</v>
      </c>
      <c r="C90" s="5">
        <v>2</v>
      </c>
      <c r="D90" s="5">
        <v>2</v>
      </c>
      <c r="E90" s="5">
        <v>3</v>
      </c>
      <c r="F90" s="5">
        <v>4</v>
      </c>
      <c r="G90" s="5">
        <v>4</v>
      </c>
      <c r="H90" s="5">
        <v>4</v>
      </c>
      <c r="I90" s="5">
        <v>5</v>
      </c>
      <c r="J90" s="5">
        <v>4</v>
      </c>
      <c r="K90" s="19">
        <f t="shared" si="4"/>
        <v>4.2</v>
      </c>
      <c r="L90" s="5">
        <v>4</v>
      </c>
      <c r="M90" s="5">
        <v>4</v>
      </c>
      <c r="N90" s="5">
        <v>4</v>
      </c>
      <c r="O90" s="5">
        <v>4</v>
      </c>
      <c r="P90" s="5">
        <v>5</v>
      </c>
      <c r="Q90" s="19">
        <f t="shared" si="5"/>
        <v>4.2</v>
      </c>
      <c r="R90" s="5">
        <v>5</v>
      </c>
      <c r="S90" s="5">
        <v>4</v>
      </c>
      <c r="T90" s="5">
        <v>4</v>
      </c>
      <c r="U90" s="5">
        <v>4</v>
      </c>
      <c r="V90" s="5">
        <v>4</v>
      </c>
      <c r="W90" s="19">
        <f t="shared" si="6"/>
        <v>4.2</v>
      </c>
      <c r="X90" s="5">
        <v>4</v>
      </c>
      <c r="Y90" s="5">
        <v>4</v>
      </c>
      <c r="Z90" s="5">
        <v>5</v>
      </c>
      <c r="AA90" s="5">
        <v>4</v>
      </c>
      <c r="AB90" s="6">
        <v>4</v>
      </c>
      <c r="AC90" s="20">
        <f t="shared" si="7"/>
        <v>4.2</v>
      </c>
    </row>
    <row r="91" spans="1:29" ht="15" thickBot="1" x14ac:dyDescent="0.35">
      <c r="A91" s="8">
        <v>3</v>
      </c>
      <c r="B91" s="8" t="s">
        <v>149</v>
      </c>
      <c r="C91" s="8">
        <v>4</v>
      </c>
      <c r="D91" s="8">
        <v>2</v>
      </c>
      <c r="E91" s="8">
        <v>4</v>
      </c>
      <c r="F91" s="8">
        <v>4</v>
      </c>
      <c r="G91" s="8">
        <v>4</v>
      </c>
      <c r="H91" s="8">
        <v>4</v>
      </c>
      <c r="I91" s="8">
        <v>4</v>
      </c>
      <c r="J91" s="8">
        <v>4</v>
      </c>
      <c r="K91" s="19">
        <f t="shared" si="4"/>
        <v>4</v>
      </c>
      <c r="L91" s="8">
        <v>4</v>
      </c>
      <c r="M91" s="8">
        <v>4</v>
      </c>
      <c r="N91" s="8">
        <v>4</v>
      </c>
      <c r="O91" s="8">
        <v>4</v>
      </c>
      <c r="P91" s="8">
        <v>4</v>
      </c>
      <c r="Q91" s="19">
        <f t="shared" si="5"/>
        <v>4</v>
      </c>
      <c r="R91" s="8">
        <v>4</v>
      </c>
      <c r="S91" s="8">
        <v>4</v>
      </c>
      <c r="T91" s="8">
        <v>4</v>
      </c>
      <c r="U91" s="8">
        <v>4</v>
      </c>
      <c r="V91" s="8">
        <v>4</v>
      </c>
      <c r="W91" s="19">
        <f t="shared" si="6"/>
        <v>4</v>
      </c>
      <c r="X91" s="8">
        <v>4</v>
      </c>
      <c r="Y91" s="8">
        <v>4</v>
      </c>
      <c r="Z91" s="8">
        <v>4</v>
      </c>
      <c r="AA91" s="8">
        <v>4</v>
      </c>
      <c r="AB91" s="9">
        <v>4</v>
      </c>
      <c r="AC91" s="20">
        <f t="shared" si="7"/>
        <v>4</v>
      </c>
    </row>
    <row r="92" spans="1:29" ht="15" thickBot="1" x14ac:dyDescent="0.35">
      <c r="A92" s="5">
        <v>3</v>
      </c>
      <c r="B92" s="5" t="s">
        <v>148</v>
      </c>
      <c r="C92" s="5">
        <v>1</v>
      </c>
      <c r="D92" s="5">
        <v>2</v>
      </c>
      <c r="E92" s="5">
        <v>3</v>
      </c>
      <c r="F92" s="5">
        <v>4</v>
      </c>
      <c r="G92" s="5">
        <v>4</v>
      </c>
      <c r="H92" s="5">
        <v>4</v>
      </c>
      <c r="I92" s="5">
        <v>3</v>
      </c>
      <c r="J92" s="5">
        <v>3</v>
      </c>
      <c r="K92" s="19">
        <f t="shared" si="4"/>
        <v>3.6</v>
      </c>
      <c r="L92" s="5">
        <v>3</v>
      </c>
      <c r="M92" s="5">
        <v>3</v>
      </c>
      <c r="N92" s="5">
        <v>3</v>
      </c>
      <c r="O92" s="5">
        <v>3</v>
      </c>
      <c r="P92" s="5">
        <v>3</v>
      </c>
      <c r="Q92" s="19">
        <f t="shared" si="5"/>
        <v>3</v>
      </c>
      <c r="R92" s="5">
        <v>3</v>
      </c>
      <c r="S92" s="5">
        <v>2</v>
      </c>
      <c r="T92" s="5">
        <v>3</v>
      </c>
      <c r="U92" s="5">
        <v>4</v>
      </c>
      <c r="V92" s="5">
        <v>4</v>
      </c>
      <c r="W92" s="19">
        <f t="shared" si="6"/>
        <v>3.2</v>
      </c>
      <c r="X92" s="5">
        <v>3</v>
      </c>
      <c r="Y92" s="5">
        <v>4</v>
      </c>
      <c r="Z92" s="5">
        <v>4</v>
      </c>
      <c r="AA92" s="5">
        <v>4</v>
      </c>
      <c r="AB92" s="6">
        <v>3</v>
      </c>
      <c r="AC92" s="20">
        <f t="shared" si="7"/>
        <v>3.6</v>
      </c>
    </row>
    <row r="93" spans="1:29" ht="15" thickBot="1" x14ac:dyDescent="0.35">
      <c r="A93" s="8">
        <v>3</v>
      </c>
      <c r="B93" s="8" t="s">
        <v>149</v>
      </c>
      <c r="C93" s="8">
        <v>2</v>
      </c>
      <c r="D93" s="8">
        <v>4</v>
      </c>
      <c r="E93" s="8">
        <v>5</v>
      </c>
      <c r="F93" s="8">
        <v>4</v>
      </c>
      <c r="G93" s="8">
        <v>3</v>
      </c>
      <c r="H93" s="8">
        <v>4</v>
      </c>
      <c r="I93" s="8">
        <v>4</v>
      </c>
      <c r="J93" s="8">
        <v>5</v>
      </c>
      <c r="K93" s="19">
        <f t="shared" si="4"/>
        <v>4</v>
      </c>
      <c r="L93" s="8">
        <v>3</v>
      </c>
      <c r="M93" s="8">
        <v>1</v>
      </c>
      <c r="N93" s="8">
        <v>5</v>
      </c>
      <c r="O93" s="8">
        <v>2</v>
      </c>
      <c r="P93" s="8">
        <v>3</v>
      </c>
      <c r="Q93" s="19">
        <f t="shared" si="5"/>
        <v>2.8</v>
      </c>
      <c r="R93" s="8">
        <v>4</v>
      </c>
      <c r="S93" s="8">
        <v>3</v>
      </c>
      <c r="T93" s="8">
        <v>3</v>
      </c>
      <c r="U93" s="8">
        <v>2</v>
      </c>
      <c r="V93" s="8">
        <v>4</v>
      </c>
      <c r="W93" s="19">
        <f t="shared" si="6"/>
        <v>3.2</v>
      </c>
      <c r="X93" s="8">
        <v>4</v>
      </c>
      <c r="Y93" s="8">
        <v>1</v>
      </c>
      <c r="Z93" s="8">
        <v>1</v>
      </c>
      <c r="AA93" s="8">
        <v>2</v>
      </c>
      <c r="AB93" s="9">
        <v>1</v>
      </c>
      <c r="AC93" s="20">
        <f t="shared" si="7"/>
        <v>1.8</v>
      </c>
    </row>
    <row r="94" spans="1:29" ht="15" thickBot="1" x14ac:dyDescent="0.35">
      <c r="A94" s="5">
        <v>3</v>
      </c>
      <c r="B94" s="5" t="s">
        <v>149</v>
      </c>
      <c r="C94" s="5">
        <v>4</v>
      </c>
      <c r="D94" s="5">
        <v>4</v>
      </c>
      <c r="E94" s="5">
        <v>4</v>
      </c>
      <c r="F94" s="5">
        <v>4</v>
      </c>
      <c r="G94" s="5">
        <v>4</v>
      </c>
      <c r="H94" s="5">
        <v>4</v>
      </c>
      <c r="I94" s="5">
        <v>5</v>
      </c>
      <c r="J94" s="5">
        <v>4</v>
      </c>
      <c r="K94" s="19">
        <f t="shared" si="4"/>
        <v>4.2</v>
      </c>
      <c r="L94" s="5">
        <v>4</v>
      </c>
      <c r="M94" s="5">
        <v>3</v>
      </c>
      <c r="N94" s="5">
        <v>4</v>
      </c>
      <c r="O94" s="5">
        <v>4</v>
      </c>
      <c r="P94" s="5">
        <v>4</v>
      </c>
      <c r="Q94" s="19">
        <f t="shared" si="5"/>
        <v>3.8</v>
      </c>
      <c r="R94" s="5">
        <v>2</v>
      </c>
      <c r="S94" s="5">
        <v>3</v>
      </c>
      <c r="T94" s="5">
        <v>1</v>
      </c>
      <c r="U94" s="5">
        <v>2</v>
      </c>
      <c r="V94" s="5">
        <v>4</v>
      </c>
      <c r="W94" s="19">
        <f t="shared" si="6"/>
        <v>2.4</v>
      </c>
      <c r="X94" s="5">
        <v>4</v>
      </c>
      <c r="Y94" s="5">
        <v>4</v>
      </c>
      <c r="Z94" s="5">
        <v>4</v>
      </c>
      <c r="AA94" s="5">
        <v>4</v>
      </c>
      <c r="AB94" s="6">
        <v>5</v>
      </c>
      <c r="AC94" s="20">
        <f t="shared" si="7"/>
        <v>4.2</v>
      </c>
    </row>
    <row r="95" spans="1:29" ht="15" thickBot="1" x14ac:dyDescent="0.35">
      <c r="A95" s="8">
        <v>4</v>
      </c>
      <c r="B95" s="8" t="s">
        <v>148</v>
      </c>
      <c r="C95" s="8">
        <v>3</v>
      </c>
      <c r="D95" s="8">
        <v>4</v>
      </c>
      <c r="E95" s="8">
        <v>4</v>
      </c>
      <c r="F95" s="8">
        <v>2</v>
      </c>
      <c r="G95" s="8">
        <v>2</v>
      </c>
      <c r="H95" s="8">
        <v>4</v>
      </c>
      <c r="I95" s="8">
        <v>4</v>
      </c>
      <c r="J95" s="8">
        <v>4</v>
      </c>
      <c r="K95" s="19">
        <f t="shared" si="4"/>
        <v>3.2</v>
      </c>
      <c r="L95" s="8">
        <v>5</v>
      </c>
      <c r="M95" s="8">
        <v>5</v>
      </c>
      <c r="N95" s="8">
        <v>4</v>
      </c>
      <c r="O95" s="8">
        <v>3</v>
      </c>
      <c r="P95" s="8">
        <v>5</v>
      </c>
      <c r="Q95" s="19">
        <f t="shared" si="5"/>
        <v>4.4000000000000004</v>
      </c>
      <c r="R95" s="8">
        <v>4</v>
      </c>
      <c r="S95" s="8">
        <v>3</v>
      </c>
      <c r="T95" s="8">
        <v>5</v>
      </c>
      <c r="U95" s="8">
        <v>5</v>
      </c>
      <c r="V95" s="8">
        <v>4</v>
      </c>
      <c r="W95" s="19">
        <f t="shared" si="6"/>
        <v>4.2</v>
      </c>
      <c r="X95" s="8">
        <v>5</v>
      </c>
      <c r="Y95" s="8">
        <v>5</v>
      </c>
      <c r="Z95" s="8">
        <v>1</v>
      </c>
      <c r="AA95" s="8">
        <v>2</v>
      </c>
      <c r="AB95" s="9">
        <v>5</v>
      </c>
      <c r="AC95" s="20">
        <f t="shared" si="7"/>
        <v>3.6</v>
      </c>
    </row>
    <row r="96" spans="1:29" ht="15" thickBot="1" x14ac:dyDescent="0.35">
      <c r="A96" s="5">
        <v>1</v>
      </c>
      <c r="B96" s="5" t="s">
        <v>148</v>
      </c>
      <c r="C96" s="5">
        <v>1</v>
      </c>
      <c r="D96" s="5">
        <v>4</v>
      </c>
      <c r="E96" s="5">
        <v>3</v>
      </c>
      <c r="F96" s="5">
        <v>3</v>
      </c>
      <c r="G96" s="5">
        <v>2</v>
      </c>
      <c r="H96" s="5">
        <v>3</v>
      </c>
      <c r="I96" s="5">
        <v>2</v>
      </c>
      <c r="J96" s="5">
        <v>3</v>
      </c>
      <c r="K96" s="19">
        <f t="shared" si="4"/>
        <v>2.6</v>
      </c>
      <c r="L96" s="5">
        <v>3</v>
      </c>
      <c r="M96" s="5">
        <v>2</v>
      </c>
      <c r="N96" s="5">
        <v>3</v>
      </c>
      <c r="O96" s="5">
        <v>2</v>
      </c>
      <c r="P96" s="5">
        <v>2</v>
      </c>
      <c r="Q96" s="19">
        <f t="shared" si="5"/>
        <v>2.4</v>
      </c>
      <c r="R96" s="5">
        <v>2</v>
      </c>
      <c r="S96" s="5">
        <v>2</v>
      </c>
      <c r="T96" s="5">
        <v>2</v>
      </c>
      <c r="U96" s="5">
        <v>2</v>
      </c>
      <c r="V96" s="5">
        <v>2</v>
      </c>
      <c r="W96" s="19">
        <f t="shared" si="6"/>
        <v>2</v>
      </c>
      <c r="X96" s="5">
        <v>1</v>
      </c>
      <c r="Y96" s="5">
        <v>1</v>
      </c>
      <c r="Z96" s="5">
        <v>1</v>
      </c>
      <c r="AA96" s="5">
        <v>1</v>
      </c>
      <c r="AB96" s="6">
        <v>1</v>
      </c>
      <c r="AC96" s="20">
        <f t="shared" si="7"/>
        <v>1</v>
      </c>
    </row>
    <row r="97" spans="1:29" ht="15" thickBot="1" x14ac:dyDescent="0.35">
      <c r="A97" s="8">
        <v>1</v>
      </c>
      <c r="B97" s="8" t="s">
        <v>148</v>
      </c>
      <c r="C97" s="8">
        <v>3</v>
      </c>
      <c r="D97" s="8">
        <v>1</v>
      </c>
      <c r="E97" s="8">
        <v>2</v>
      </c>
      <c r="F97" s="8">
        <v>3</v>
      </c>
      <c r="G97" s="8">
        <v>1</v>
      </c>
      <c r="H97" s="8">
        <v>4</v>
      </c>
      <c r="I97" s="8">
        <v>3</v>
      </c>
      <c r="J97" s="8">
        <v>2</v>
      </c>
      <c r="K97" s="19">
        <f t="shared" si="4"/>
        <v>2.6</v>
      </c>
      <c r="L97" s="8">
        <v>5</v>
      </c>
      <c r="M97" s="8">
        <v>2</v>
      </c>
      <c r="N97" s="8">
        <v>1</v>
      </c>
      <c r="O97" s="8">
        <v>4</v>
      </c>
      <c r="P97" s="8">
        <v>1</v>
      </c>
      <c r="Q97" s="19">
        <f t="shared" si="5"/>
        <v>2.6</v>
      </c>
      <c r="R97" s="8">
        <v>3</v>
      </c>
      <c r="S97" s="8">
        <v>2</v>
      </c>
      <c r="T97" s="8">
        <v>3</v>
      </c>
      <c r="U97" s="8">
        <v>1</v>
      </c>
      <c r="V97" s="8">
        <v>1</v>
      </c>
      <c r="W97" s="19">
        <f t="shared" si="6"/>
        <v>2</v>
      </c>
      <c r="X97" s="8">
        <v>1</v>
      </c>
      <c r="Y97" s="8">
        <v>4</v>
      </c>
      <c r="Z97" s="8">
        <v>3</v>
      </c>
      <c r="AA97" s="8">
        <v>2</v>
      </c>
      <c r="AB97" s="9">
        <v>1</v>
      </c>
      <c r="AC97" s="20">
        <f t="shared" si="7"/>
        <v>2.2000000000000002</v>
      </c>
    </row>
    <row r="98" spans="1:29" ht="15" thickBot="1" x14ac:dyDescent="0.35">
      <c r="A98" s="5">
        <v>1</v>
      </c>
      <c r="B98" s="5" t="s">
        <v>148</v>
      </c>
      <c r="C98" s="5">
        <v>3</v>
      </c>
      <c r="D98" s="5">
        <v>1</v>
      </c>
      <c r="E98" s="5">
        <v>3</v>
      </c>
      <c r="F98" s="5">
        <v>1</v>
      </c>
      <c r="G98" s="5">
        <v>2</v>
      </c>
      <c r="H98" s="5">
        <v>2</v>
      </c>
      <c r="I98" s="5">
        <v>2</v>
      </c>
      <c r="J98" s="5">
        <v>3</v>
      </c>
      <c r="K98" s="19">
        <f t="shared" si="4"/>
        <v>2</v>
      </c>
      <c r="L98" s="5">
        <v>1</v>
      </c>
      <c r="M98" s="5">
        <v>5</v>
      </c>
      <c r="N98" s="5">
        <v>3</v>
      </c>
      <c r="O98" s="5">
        <v>4</v>
      </c>
      <c r="P98" s="5">
        <v>2</v>
      </c>
      <c r="Q98" s="19">
        <f t="shared" si="5"/>
        <v>3</v>
      </c>
      <c r="R98" s="5">
        <v>2</v>
      </c>
      <c r="S98" s="5">
        <v>3</v>
      </c>
      <c r="T98" s="5">
        <v>1</v>
      </c>
      <c r="U98" s="5">
        <v>2</v>
      </c>
      <c r="V98" s="5">
        <v>2</v>
      </c>
      <c r="W98" s="19">
        <f t="shared" si="6"/>
        <v>2</v>
      </c>
      <c r="X98" s="5">
        <v>2</v>
      </c>
      <c r="Y98" s="5">
        <v>1</v>
      </c>
      <c r="Z98" s="5">
        <v>4</v>
      </c>
      <c r="AA98" s="5">
        <v>3</v>
      </c>
      <c r="AB98" s="6">
        <v>1</v>
      </c>
      <c r="AC98" s="20">
        <f t="shared" si="7"/>
        <v>2.2000000000000002</v>
      </c>
    </row>
    <row r="99" spans="1:29" ht="15" thickBot="1" x14ac:dyDescent="0.35">
      <c r="A99" s="8">
        <v>2</v>
      </c>
      <c r="B99" s="8" t="s">
        <v>149</v>
      </c>
      <c r="C99" s="8">
        <v>3</v>
      </c>
      <c r="D99" s="8">
        <v>2</v>
      </c>
      <c r="E99" s="8">
        <v>4</v>
      </c>
      <c r="F99" s="8">
        <v>4</v>
      </c>
      <c r="G99" s="8">
        <v>3</v>
      </c>
      <c r="H99" s="8">
        <v>3</v>
      </c>
      <c r="I99" s="8">
        <v>5</v>
      </c>
      <c r="J99" s="8">
        <v>3</v>
      </c>
      <c r="K99" s="19">
        <f t="shared" si="4"/>
        <v>3.6</v>
      </c>
      <c r="L99" s="8">
        <v>5</v>
      </c>
      <c r="M99" s="8">
        <v>4</v>
      </c>
      <c r="N99" s="8">
        <v>4</v>
      </c>
      <c r="O99" s="8">
        <v>3</v>
      </c>
      <c r="P99" s="8">
        <v>4</v>
      </c>
      <c r="Q99" s="19">
        <f t="shared" si="5"/>
        <v>4</v>
      </c>
      <c r="R99" s="8">
        <v>3</v>
      </c>
      <c r="S99" s="8">
        <v>4</v>
      </c>
      <c r="T99" s="8">
        <v>3</v>
      </c>
      <c r="U99" s="8">
        <v>5</v>
      </c>
      <c r="V99" s="8">
        <v>4</v>
      </c>
      <c r="W99" s="19">
        <f t="shared" si="6"/>
        <v>3.8</v>
      </c>
      <c r="X99" s="8">
        <v>5</v>
      </c>
      <c r="Y99" s="8">
        <v>4</v>
      </c>
      <c r="Z99" s="8">
        <v>4</v>
      </c>
      <c r="AA99" s="8">
        <v>4</v>
      </c>
      <c r="AB99" s="9">
        <v>4</v>
      </c>
      <c r="AC99" s="20">
        <f t="shared" si="7"/>
        <v>4.2</v>
      </c>
    </row>
    <row r="100" spans="1:29" ht="15" thickBot="1" x14ac:dyDescent="0.35">
      <c r="A100" s="5">
        <v>2</v>
      </c>
      <c r="B100" s="5" t="s">
        <v>149</v>
      </c>
      <c r="C100" s="5">
        <v>2</v>
      </c>
      <c r="D100" s="5">
        <v>2</v>
      </c>
      <c r="E100" s="5">
        <v>2</v>
      </c>
      <c r="F100" s="5">
        <v>3</v>
      </c>
      <c r="G100" s="5">
        <v>3</v>
      </c>
      <c r="H100" s="5">
        <v>4</v>
      </c>
      <c r="I100" s="5">
        <v>4</v>
      </c>
      <c r="J100" s="5">
        <v>3</v>
      </c>
      <c r="K100" s="19">
        <f t="shared" si="4"/>
        <v>3.4</v>
      </c>
      <c r="L100" s="5">
        <v>4</v>
      </c>
      <c r="M100" s="5">
        <v>4</v>
      </c>
      <c r="N100" s="5">
        <v>4</v>
      </c>
      <c r="O100" s="5">
        <v>4</v>
      </c>
      <c r="P100" s="5">
        <v>3</v>
      </c>
      <c r="Q100" s="19">
        <f t="shared" si="5"/>
        <v>3.8</v>
      </c>
      <c r="R100" s="5">
        <v>4</v>
      </c>
      <c r="S100" s="5">
        <v>4</v>
      </c>
      <c r="T100" s="5">
        <v>4</v>
      </c>
      <c r="U100" s="5">
        <v>3</v>
      </c>
      <c r="V100" s="5">
        <v>4</v>
      </c>
      <c r="W100" s="19">
        <f t="shared" si="6"/>
        <v>3.8</v>
      </c>
      <c r="X100" s="5">
        <v>4</v>
      </c>
      <c r="Y100" s="5">
        <v>4</v>
      </c>
      <c r="Z100" s="5">
        <v>4</v>
      </c>
      <c r="AA100" s="5">
        <v>4</v>
      </c>
      <c r="AB100" s="6">
        <v>4</v>
      </c>
      <c r="AC100" s="20">
        <f t="shared" si="7"/>
        <v>4</v>
      </c>
    </row>
    <row r="101" spans="1:29" ht="15" thickBot="1" x14ac:dyDescent="0.35">
      <c r="A101" s="8">
        <v>2</v>
      </c>
      <c r="B101" s="8" t="s">
        <v>148</v>
      </c>
      <c r="C101" s="8">
        <v>1</v>
      </c>
      <c r="D101" s="8">
        <v>2</v>
      </c>
      <c r="E101" s="8">
        <v>4</v>
      </c>
      <c r="F101" s="8">
        <v>4</v>
      </c>
      <c r="G101" s="8">
        <v>2</v>
      </c>
      <c r="H101" s="8">
        <v>2</v>
      </c>
      <c r="I101" s="8">
        <v>3</v>
      </c>
      <c r="J101" s="8">
        <v>4</v>
      </c>
      <c r="K101" s="19">
        <f t="shared" si="4"/>
        <v>3</v>
      </c>
      <c r="L101" s="8">
        <v>2</v>
      </c>
      <c r="M101" s="8">
        <v>4</v>
      </c>
      <c r="N101" s="8">
        <v>1</v>
      </c>
      <c r="O101" s="8">
        <v>2</v>
      </c>
      <c r="P101" s="8">
        <v>2</v>
      </c>
      <c r="Q101" s="19">
        <f t="shared" si="5"/>
        <v>2.2000000000000002</v>
      </c>
      <c r="R101" s="8">
        <v>2</v>
      </c>
      <c r="S101" s="8">
        <v>3</v>
      </c>
      <c r="T101" s="8">
        <v>1</v>
      </c>
      <c r="U101" s="8">
        <v>1</v>
      </c>
      <c r="V101" s="8">
        <v>1</v>
      </c>
      <c r="W101" s="19">
        <f t="shared" si="6"/>
        <v>1.6</v>
      </c>
      <c r="X101" s="8">
        <v>5</v>
      </c>
      <c r="Y101" s="8">
        <v>3</v>
      </c>
      <c r="Z101" s="8">
        <v>3</v>
      </c>
      <c r="AA101" s="8">
        <v>3</v>
      </c>
      <c r="AB101" s="9">
        <v>1</v>
      </c>
      <c r="AC101" s="20">
        <f t="shared" si="7"/>
        <v>3</v>
      </c>
    </row>
    <row r="102" spans="1:29" ht="15" thickBot="1" x14ac:dyDescent="0.35">
      <c r="A102" s="5">
        <v>4</v>
      </c>
      <c r="B102" s="5" t="s">
        <v>148</v>
      </c>
      <c r="C102" s="5">
        <v>3</v>
      </c>
      <c r="D102" s="5">
        <v>4</v>
      </c>
      <c r="E102" s="5">
        <v>5</v>
      </c>
      <c r="F102" s="5">
        <v>3</v>
      </c>
      <c r="G102" s="5">
        <v>5</v>
      </c>
      <c r="H102" s="5">
        <v>3</v>
      </c>
      <c r="I102" s="5">
        <v>5</v>
      </c>
      <c r="J102" s="5">
        <v>2</v>
      </c>
      <c r="K102" s="19">
        <f t="shared" si="4"/>
        <v>3.6</v>
      </c>
      <c r="L102" s="5">
        <v>4</v>
      </c>
      <c r="M102" s="5">
        <v>4</v>
      </c>
      <c r="N102" s="5">
        <v>4</v>
      </c>
      <c r="O102" s="5">
        <v>3</v>
      </c>
      <c r="P102" s="5">
        <v>3</v>
      </c>
      <c r="Q102" s="19">
        <f t="shared" si="5"/>
        <v>3.6</v>
      </c>
      <c r="R102" s="5">
        <v>4</v>
      </c>
      <c r="S102" s="5">
        <v>5</v>
      </c>
      <c r="T102" s="5">
        <v>4</v>
      </c>
      <c r="U102" s="5">
        <v>4</v>
      </c>
      <c r="V102" s="5">
        <v>4</v>
      </c>
      <c r="W102" s="19">
        <f t="shared" si="6"/>
        <v>4.2</v>
      </c>
      <c r="X102" s="5">
        <v>3</v>
      </c>
      <c r="Y102" s="5">
        <v>3</v>
      </c>
      <c r="Z102" s="5">
        <v>3</v>
      </c>
      <c r="AA102" s="5">
        <v>3</v>
      </c>
      <c r="AB102" s="6">
        <v>3</v>
      </c>
      <c r="AC102" s="20">
        <f t="shared" si="7"/>
        <v>3</v>
      </c>
    </row>
    <row r="103" spans="1:29" ht="15" thickBot="1" x14ac:dyDescent="0.35">
      <c r="A103" s="8">
        <v>2</v>
      </c>
      <c r="B103" s="8" t="s">
        <v>148</v>
      </c>
      <c r="C103" s="8">
        <v>3</v>
      </c>
      <c r="D103" s="8">
        <v>1</v>
      </c>
      <c r="E103" s="8">
        <v>2</v>
      </c>
      <c r="F103" s="8">
        <v>2</v>
      </c>
      <c r="G103" s="8">
        <v>3</v>
      </c>
      <c r="H103" s="8">
        <v>3</v>
      </c>
      <c r="I103" s="8">
        <v>3</v>
      </c>
      <c r="J103" s="8">
        <v>3</v>
      </c>
      <c r="K103" s="19">
        <f t="shared" si="4"/>
        <v>2.8</v>
      </c>
      <c r="L103" s="8">
        <v>2</v>
      </c>
      <c r="M103" s="8">
        <v>3</v>
      </c>
      <c r="N103" s="8">
        <v>4</v>
      </c>
      <c r="O103" s="8">
        <v>3</v>
      </c>
      <c r="P103" s="8">
        <v>2</v>
      </c>
      <c r="Q103" s="19">
        <f t="shared" si="5"/>
        <v>2.8</v>
      </c>
      <c r="R103" s="8">
        <v>1</v>
      </c>
      <c r="S103" s="8">
        <v>1</v>
      </c>
      <c r="T103" s="8">
        <v>2</v>
      </c>
      <c r="U103" s="8">
        <v>4</v>
      </c>
      <c r="V103" s="8">
        <v>1</v>
      </c>
      <c r="W103" s="19">
        <f t="shared" si="6"/>
        <v>1.8</v>
      </c>
      <c r="X103" s="8">
        <v>1</v>
      </c>
      <c r="Y103" s="8">
        <v>4</v>
      </c>
      <c r="Z103" s="8">
        <v>3</v>
      </c>
      <c r="AA103" s="8">
        <v>3</v>
      </c>
      <c r="AB103" s="9">
        <v>4</v>
      </c>
      <c r="AC103" s="20">
        <f t="shared" si="7"/>
        <v>3</v>
      </c>
    </row>
    <row r="104" spans="1:29" ht="15" thickBot="1" x14ac:dyDescent="0.35">
      <c r="A104" s="5">
        <v>4</v>
      </c>
      <c r="B104" s="5" t="s">
        <v>148</v>
      </c>
      <c r="C104" s="5">
        <v>2</v>
      </c>
      <c r="D104" s="5">
        <v>3</v>
      </c>
      <c r="E104" s="5">
        <v>5</v>
      </c>
      <c r="F104" s="5">
        <v>4</v>
      </c>
      <c r="G104" s="5">
        <v>5</v>
      </c>
      <c r="H104" s="5">
        <v>4</v>
      </c>
      <c r="I104" s="5">
        <v>2</v>
      </c>
      <c r="J104" s="5">
        <v>2</v>
      </c>
      <c r="K104" s="19">
        <f t="shared" si="4"/>
        <v>3.4</v>
      </c>
      <c r="L104" s="5">
        <v>3</v>
      </c>
      <c r="M104" s="5">
        <v>3</v>
      </c>
      <c r="N104" s="5">
        <v>3</v>
      </c>
      <c r="O104" s="5">
        <v>5</v>
      </c>
      <c r="P104" s="5">
        <v>4</v>
      </c>
      <c r="Q104" s="19">
        <f t="shared" si="5"/>
        <v>3.6</v>
      </c>
      <c r="R104" s="5">
        <v>3</v>
      </c>
      <c r="S104" s="5">
        <v>3</v>
      </c>
      <c r="T104" s="5">
        <v>3</v>
      </c>
      <c r="U104" s="5">
        <v>3</v>
      </c>
      <c r="V104" s="5">
        <v>2</v>
      </c>
      <c r="W104" s="19">
        <f t="shared" si="6"/>
        <v>2.8</v>
      </c>
      <c r="X104" s="5">
        <v>5</v>
      </c>
      <c r="Y104" s="5">
        <v>1</v>
      </c>
      <c r="Z104" s="5">
        <v>2</v>
      </c>
      <c r="AA104" s="5">
        <v>2</v>
      </c>
      <c r="AB104" s="6">
        <v>3</v>
      </c>
      <c r="AC104" s="20">
        <f t="shared" si="7"/>
        <v>2.6</v>
      </c>
    </row>
    <row r="105" spans="1:29" ht="15" thickBot="1" x14ac:dyDescent="0.35">
      <c r="A105" s="13">
        <v>2</v>
      </c>
      <c r="B105" s="13" t="s">
        <v>148</v>
      </c>
      <c r="C105" s="13">
        <v>1</v>
      </c>
      <c r="D105" s="13">
        <v>2</v>
      </c>
      <c r="E105" s="13">
        <v>2</v>
      </c>
      <c r="F105" s="13">
        <v>2</v>
      </c>
      <c r="G105" s="13">
        <v>3</v>
      </c>
      <c r="H105" s="13">
        <v>3</v>
      </c>
      <c r="I105" s="13">
        <v>4</v>
      </c>
      <c r="J105" s="13">
        <v>2</v>
      </c>
      <c r="K105" s="19">
        <f t="shared" si="4"/>
        <v>2.8</v>
      </c>
      <c r="L105" s="13">
        <v>1</v>
      </c>
      <c r="M105" s="13">
        <v>2</v>
      </c>
      <c r="N105" s="13">
        <v>4</v>
      </c>
      <c r="O105" s="13">
        <v>1</v>
      </c>
      <c r="P105" s="13">
        <v>4</v>
      </c>
      <c r="Q105" s="19">
        <f t="shared" si="5"/>
        <v>2.4</v>
      </c>
      <c r="R105" s="13">
        <v>1</v>
      </c>
      <c r="S105" s="13">
        <v>3</v>
      </c>
      <c r="T105" s="13">
        <v>3</v>
      </c>
      <c r="U105" s="13">
        <v>3</v>
      </c>
      <c r="V105" s="13">
        <v>3</v>
      </c>
      <c r="W105" s="19">
        <f t="shared" si="6"/>
        <v>2.6</v>
      </c>
      <c r="X105" s="13">
        <v>3</v>
      </c>
      <c r="Y105" s="13">
        <v>2</v>
      </c>
      <c r="Z105" s="13">
        <v>2</v>
      </c>
      <c r="AA105" s="13">
        <v>1</v>
      </c>
      <c r="AB105" s="14">
        <v>5</v>
      </c>
      <c r="AC105" s="20">
        <f t="shared" si="7"/>
        <v>2.6</v>
      </c>
    </row>
  </sheetData>
  <pageMargins left="0.7" right="0.7" top="0.75" bottom="0.75" header="0.3" footer="0.3"/>
  <ignoredErrors>
    <ignoredError sqref="K2:K105"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8FE8-F015-412F-ABA2-2C15F6199624}">
  <dimension ref="A1:I105"/>
  <sheetViews>
    <sheetView workbookViewId="0"/>
  </sheetViews>
  <sheetFormatPr defaultRowHeight="14.4" x14ac:dyDescent="0.3"/>
  <cols>
    <col min="1" max="1" width="27" customWidth="1"/>
    <col min="2" max="2" width="29.77734375" customWidth="1"/>
    <col min="3" max="3" width="17.5546875" customWidth="1"/>
    <col min="4" max="4" width="30.88671875" customWidth="1"/>
    <col min="5" max="5" width="29.77734375" customWidth="1"/>
    <col min="6" max="6" width="18.5546875" customWidth="1"/>
    <col min="7" max="7" width="34.109375" customWidth="1"/>
    <col min="8" max="8" width="29.77734375" customWidth="1"/>
    <col min="9" max="9" width="21.6640625" customWidth="1"/>
  </cols>
  <sheetData>
    <row r="1" spans="1:9" ht="43.2" x14ac:dyDescent="0.3">
      <c r="A1" t="s">
        <v>139</v>
      </c>
      <c r="B1" s="23" t="s">
        <v>135</v>
      </c>
      <c r="C1" s="22" t="s">
        <v>136</v>
      </c>
      <c r="D1" t="s">
        <v>140</v>
      </c>
      <c r="E1" s="23" t="s">
        <v>135</v>
      </c>
      <c r="F1" s="22" t="s">
        <v>137</v>
      </c>
      <c r="G1" t="s">
        <v>141</v>
      </c>
      <c r="H1" s="23" t="s">
        <v>135</v>
      </c>
      <c r="I1" s="22" t="s">
        <v>138</v>
      </c>
    </row>
    <row r="2" spans="1:9" x14ac:dyDescent="0.3">
      <c r="A2">
        <v>3.4</v>
      </c>
      <c r="B2">
        <v>3.4</v>
      </c>
      <c r="C2" s="21">
        <f>CORREL(A2:A105,B2:B105)</f>
        <v>0.6412890576015905</v>
      </c>
      <c r="D2">
        <v>4.4000000000000004</v>
      </c>
      <c r="E2">
        <v>3.4</v>
      </c>
      <c r="F2" s="21">
        <f>CORREL(D2:D105,E2:E105)</f>
        <v>0.74536235436971754</v>
      </c>
      <c r="G2">
        <v>3.8</v>
      </c>
      <c r="H2">
        <v>3.4</v>
      </c>
      <c r="I2" s="21">
        <f>CORREL(G2:G105,H2:H105)</f>
        <v>0.75374855394045503</v>
      </c>
    </row>
    <row r="3" spans="1:9" x14ac:dyDescent="0.3">
      <c r="A3">
        <v>3</v>
      </c>
      <c r="B3">
        <v>3</v>
      </c>
      <c r="D3">
        <v>3</v>
      </c>
      <c r="E3">
        <v>3</v>
      </c>
      <c r="G3">
        <v>3</v>
      </c>
      <c r="H3">
        <v>3</v>
      </c>
    </row>
    <row r="4" spans="1:9" x14ac:dyDescent="0.3">
      <c r="A4">
        <v>4</v>
      </c>
      <c r="B4">
        <v>4</v>
      </c>
      <c r="D4">
        <v>4.2</v>
      </c>
      <c r="E4">
        <v>4</v>
      </c>
      <c r="G4">
        <v>3.6</v>
      </c>
      <c r="H4">
        <v>4</v>
      </c>
    </row>
    <row r="5" spans="1:9" x14ac:dyDescent="0.3">
      <c r="A5">
        <v>4.2</v>
      </c>
      <c r="B5">
        <v>4.5999999999999996</v>
      </c>
      <c r="D5">
        <v>4.8</v>
      </c>
      <c r="E5">
        <v>4.5999999999999996</v>
      </c>
      <c r="G5">
        <v>4</v>
      </c>
      <c r="H5">
        <v>4.5999999999999996</v>
      </c>
    </row>
    <row r="6" spans="1:9" x14ac:dyDescent="0.3">
      <c r="A6">
        <v>3.2</v>
      </c>
      <c r="B6">
        <v>2.6</v>
      </c>
      <c r="D6">
        <v>4</v>
      </c>
      <c r="E6">
        <v>2.6</v>
      </c>
      <c r="G6">
        <v>3.6</v>
      </c>
      <c r="H6">
        <v>2.6</v>
      </c>
    </row>
    <row r="7" spans="1:9" x14ac:dyDescent="0.3">
      <c r="A7">
        <v>4</v>
      </c>
      <c r="B7">
        <v>5</v>
      </c>
      <c r="D7">
        <v>5</v>
      </c>
      <c r="E7">
        <v>5</v>
      </c>
      <c r="G7">
        <v>5</v>
      </c>
      <c r="H7">
        <v>5</v>
      </c>
    </row>
    <row r="8" spans="1:9" x14ac:dyDescent="0.3">
      <c r="A8">
        <v>4</v>
      </c>
      <c r="B8">
        <v>4</v>
      </c>
      <c r="D8">
        <v>5</v>
      </c>
      <c r="E8">
        <v>4</v>
      </c>
      <c r="G8">
        <v>4.8</v>
      </c>
      <c r="H8">
        <v>4</v>
      </c>
    </row>
    <row r="9" spans="1:9" x14ac:dyDescent="0.3">
      <c r="A9">
        <v>3.6</v>
      </c>
      <c r="B9">
        <v>3.4</v>
      </c>
      <c r="D9">
        <v>4</v>
      </c>
      <c r="E9">
        <v>3.4</v>
      </c>
      <c r="G9">
        <v>4</v>
      </c>
      <c r="H9">
        <v>3.4</v>
      </c>
    </row>
    <row r="10" spans="1:9" x14ac:dyDescent="0.3">
      <c r="A10">
        <v>4.2</v>
      </c>
      <c r="B10">
        <v>3.6</v>
      </c>
      <c r="D10">
        <v>4.2</v>
      </c>
      <c r="E10">
        <v>3.6</v>
      </c>
      <c r="G10">
        <v>3.6</v>
      </c>
      <c r="H10">
        <v>3.6</v>
      </c>
    </row>
    <row r="11" spans="1:9" x14ac:dyDescent="0.3">
      <c r="A11">
        <v>3</v>
      </c>
      <c r="B11">
        <v>2.4</v>
      </c>
      <c r="D11">
        <v>2.8</v>
      </c>
      <c r="E11">
        <v>2.4</v>
      </c>
      <c r="G11">
        <v>3</v>
      </c>
      <c r="H11">
        <v>2.4</v>
      </c>
    </row>
    <row r="12" spans="1:9" x14ac:dyDescent="0.3">
      <c r="A12">
        <v>3.8</v>
      </c>
      <c r="B12">
        <v>4.2</v>
      </c>
      <c r="D12">
        <v>4.5999999999999996</v>
      </c>
      <c r="E12">
        <v>4.2</v>
      </c>
      <c r="G12">
        <v>4</v>
      </c>
      <c r="H12">
        <v>4.2</v>
      </c>
    </row>
    <row r="13" spans="1:9" x14ac:dyDescent="0.3">
      <c r="A13">
        <v>4</v>
      </c>
      <c r="B13">
        <v>4.2</v>
      </c>
      <c r="D13">
        <v>4</v>
      </c>
      <c r="E13">
        <v>4.2</v>
      </c>
      <c r="G13">
        <v>4</v>
      </c>
      <c r="H13">
        <v>4.2</v>
      </c>
    </row>
    <row r="14" spans="1:9" x14ac:dyDescent="0.3">
      <c r="A14">
        <v>3</v>
      </c>
      <c r="B14">
        <v>3</v>
      </c>
      <c r="D14">
        <v>3</v>
      </c>
      <c r="E14">
        <v>3</v>
      </c>
      <c r="G14">
        <v>3</v>
      </c>
      <c r="H14">
        <v>3</v>
      </c>
    </row>
    <row r="15" spans="1:9" x14ac:dyDescent="0.3">
      <c r="A15">
        <v>3.6</v>
      </c>
      <c r="B15">
        <v>4</v>
      </c>
      <c r="D15">
        <v>4</v>
      </c>
      <c r="E15">
        <v>4</v>
      </c>
      <c r="G15">
        <v>4</v>
      </c>
      <c r="H15">
        <v>4</v>
      </c>
    </row>
    <row r="16" spans="1:9" x14ac:dyDescent="0.3">
      <c r="A16">
        <v>4.4000000000000004</v>
      </c>
      <c r="B16">
        <v>3.8</v>
      </c>
      <c r="D16">
        <v>4.5999999999999996</v>
      </c>
      <c r="E16">
        <v>3.8</v>
      </c>
      <c r="G16">
        <v>4.4000000000000004</v>
      </c>
      <c r="H16">
        <v>3.8</v>
      </c>
    </row>
    <row r="17" spans="1:8" x14ac:dyDescent="0.3">
      <c r="A17">
        <v>4</v>
      </c>
      <c r="B17">
        <v>3.4</v>
      </c>
      <c r="D17">
        <v>3.6</v>
      </c>
      <c r="E17">
        <v>3.4</v>
      </c>
      <c r="G17">
        <v>4.4000000000000004</v>
      </c>
      <c r="H17">
        <v>3.4</v>
      </c>
    </row>
    <row r="18" spans="1:8" x14ac:dyDescent="0.3">
      <c r="A18">
        <v>5</v>
      </c>
      <c r="B18">
        <v>5</v>
      </c>
      <c r="D18">
        <v>5</v>
      </c>
      <c r="E18">
        <v>5</v>
      </c>
      <c r="G18">
        <v>5</v>
      </c>
      <c r="H18">
        <v>5</v>
      </c>
    </row>
    <row r="19" spans="1:8" x14ac:dyDescent="0.3">
      <c r="A19">
        <v>3.8</v>
      </c>
      <c r="B19">
        <v>3.8</v>
      </c>
      <c r="D19">
        <v>4.4000000000000004</v>
      </c>
      <c r="E19">
        <v>3.8</v>
      </c>
      <c r="G19">
        <v>3.6</v>
      </c>
      <c r="H19">
        <v>3.8</v>
      </c>
    </row>
    <row r="20" spans="1:8" x14ac:dyDescent="0.3">
      <c r="A20">
        <v>1.4</v>
      </c>
      <c r="B20">
        <v>3</v>
      </c>
      <c r="D20">
        <v>2.2000000000000002</v>
      </c>
      <c r="E20">
        <v>3</v>
      </c>
      <c r="G20">
        <v>3.6</v>
      </c>
      <c r="H20">
        <v>3</v>
      </c>
    </row>
    <row r="21" spans="1:8" x14ac:dyDescent="0.3">
      <c r="A21">
        <v>4</v>
      </c>
      <c r="B21">
        <v>4.4000000000000004</v>
      </c>
      <c r="D21">
        <v>4.8</v>
      </c>
      <c r="E21">
        <v>4.4000000000000004</v>
      </c>
      <c r="G21">
        <v>3.6</v>
      </c>
      <c r="H21">
        <v>4.4000000000000004</v>
      </c>
    </row>
    <row r="22" spans="1:8" x14ac:dyDescent="0.3">
      <c r="A22">
        <v>3.4</v>
      </c>
      <c r="B22">
        <v>4.5999999999999996</v>
      </c>
      <c r="D22">
        <v>3.2</v>
      </c>
      <c r="E22">
        <v>4.5999999999999996</v>
      </c>
      <c r="G22">
        <v>4.5999999999999996</v>
      </c>
      <c r="H22">
        <v>4.5999999999999996</v>
      </c>
    </row>
    <row r="23" spans="1:8" x14ac:dyDescent="0.3">
      <c r="A23">
        <v>3.4</v>
      </c>
      <c r="B23">
        <v>3.6</v>
      </c>
      <c r="D23">
        <v>4</v>
      </c>
      <c r="E23">
        <v>3.6</v>
      </c>
      <c r="G23">
        <v>4.4000000000000004</v>
      </c>
      <c r="H23">
        <v>3.6</v>
      </c>
    </row>
    <row r="24" spans="1:8" x14ac:dyDescent="0.3">
      <c r="A24">
        <v>4.2</v>
      </c>
      <c r="B24">
        <v>4.5999999999999996</v>
      </c>
      <c r="D24">
        <v>5</v>
      </c>
      <c r="E24">
        <v>4.5999999999999996</v>
      </c>
      <c r="G24">
        <v>4.8</v>
      </c>
      <c r="H24">
        <v>4.5999999999999996</v>
      </c>
    </row>
    <row r="25" spans="1:8" x14ac:dyDescent="0.3">
      <c r="A25">
        <v>3</v>
      </c>
      <c r="B25">
        <v>4</v>
      </c>
      <c r="D25">
        <v>3.6</v>
      </c>
      <c r="E25">
        <v>4</v>
      </c>
      <c r="G25">
        <v>4</v>
      </c>
      <c r="H25">
        <v>4</v>
      </c>
    </row>
    <row r="26" spans="1:8" x14ac:dyDescent="0.3">
      <c r="A26">
        <v>2.4</v>
      </c>
      <c r="B26">
        <v>3</v>
      </c>
      <c r="D26">
        <v>3.8</v>
      </c>
      <c r="E26">
        <v>3</v>
      </c>
      <c r="G26">
        <v>3.8</v>
      </c>
      <c r="H26">
        <v>3</v>
      </c>
    </row>
    <row r="27" spans="1:8" x14ac:dyDescent="0.3">
      <c r="A27">
        <v>3.6</v>
      </c>
      <c r="B27">
        <v>3.8</v>
      </c>
      <c r="D27">
        <v>4</v>
      </c>
      <c r="E27">
        <v>3.8</v>
      </c>
      <c r="G27">
        <v>3.8</v>
      </c>
      <c r="H27">
        <v>3.8</v>
      </c>
    </row>
    <row r="28" spans="1:8" x14ac:dyDescent="0.3">
      <c r="A28">
        <v>4</v>
      </c>
      <c r="B28">
        <v>4.8</v>
      </c>
      <c r="D28">
        <v>4.4000000000000004</v>
      </c>
      <c r="E28">
        <v>4.8</v>
      </c>
      <c r="G28">
        <v>3.8</v>
      </c>
      <c r="H28">
        <v>4.8</v>
      </c>
    </row>
    <row r="29" spans="1:8" x14ac:dyDescent="0.3">
      <c r="A29">
        <v>2.2000000000000002</v>
      </c>
      <c r="B29">
        <v>3</v>
      </c>
      <c r="D29">
        <v>2.6</v>
      </c>
      <c r="E29">
        <v>3</v>
      </c>
      <c r="G29">
        <v>2.2000000000000002</v>
      </c>
      <c r="H29">
        <v>3</v>
      </c>
    </row>
    <row r="30" spans="1:8" x14ac:dyDescent="0.3">
      <c r="A30">
        <v>2.8</v>
      </c>
      <c r="B30">
        <v>3</v>
      </c>
      <c r="D30">
        <v>3</v>
      </c>
      <c r="E30">
        <v>3</v>
      </c>
      <c r="G30">
        <v>3</v>
      </c>
      <c r="H30">
        <v>3</v>
      </c>
    </row>
    <row r="31" spans="1:8" x14ac:dyDescent="0.3">
      <c r="A31">
        <v>3.8</v>
      </c>
      <c r="B31">
        <v>4.2</v>
      </c>
      <c r="D31">
        <v>5</v>
      </c>
      <c r="E31">
        <v>4.2</v>
      </c>
      <c r="G31">
        <v>4.8</v>
      </c>
      <c r="H31">
        <v>4.2</v>
      </c>
    </row>
    <row r="32" spans="1:8" x14ac:dyDescent="0.3">
      <c r="A32">
        <v>3.8</v>
      </c>
      <c r="B32">
        <v>4</v>
      </c>
      <c r="D32">
        <v>5</v>
      </c>
      <c r="E32">
        <v>4</v>
      </c>
      <c r="G32">
        <v>4</v>
      </c>
      <c r="H32">
        <v>4</v>
      </c>
    </row>
    <row r="33" spans="1:8" x14ac:dyDescent="0.3">
      <c r="A33">
        <v>3</v>
      </c>
      <c r="B33">
        <v>3.4</v>
      </c>
      <c r="D33">
        <v>4.4000000000000004</v>
      </c>
      <c r="E33">
        <v>3.4</v>
      </c>
      <c r="G33">
        <v>4</v>
      </c>
      <c r="H33">
        <v>3.4</v>
      </c>
    </row>
    <row r="34" spans="1:8" x14ac:dyDescent="0.3">
      <c r="A34">
        <v>2.4</v>
      </c>
      <c r="B34">
        <v>3.2</v>
      </c>
      <c r="D34">
        <v>2.8</v>
      </c>
      <c r="E34">
        <v>3.2</v>
      </c>
      <c r="G34">
        <v>3</v>
      </c>
      <c r="H34">
        <v>3.2</v>
      </c>
    </row>
    <row r="35" spans="1:8" x14ac:dyDescent="0.3">
      <c r="A35">
        <v>2.4</v>
      </c>
      <c r="B35">
        <v>3.2</v>
      </c>
      <c r="D35">
        <v>3.8</v>
      </c>
      <c r="E35">
        <v>3.2</v>
      </c>
      <c r="G35">
        <v>3.4</v>
      </c>
      <c r="H35">
        <v>3.2</v>
      </c>
    </row>
    <row r="36" spans="1:8" x14ac:dyDescent="0.3">
      <c r="A36">
        <v>4.8</v>
      </c>
      <c r="B36">
        <v>3</v>
      </c>
      <c r="D36">
        <v>5</v>
      </c>
      <c r="E36">
        <v>3</v>
      </c>
      <c r="G36">
        <v>3.8</v>
      </c>
      <c r="H36">
        <v>3</v>
      </c>
    </row>
    <row r="37" spans="1:8" x14ac:dyDescent="0.3">
      <c r="A37">
        <v>4.2</v>
      </c>
      <c r="B37">
        <v>4</v>
      </c>
      <c r="D37">
        <v>4</v>
      </c>
      <c r="E37">
        <v>4</v>
      </c>
      <c r="G37">
        <v>4</v>
      </c>
      <c r="H37">
        <v>4</v>
      </c>
    </row>
    <row r="38" spans="1:8" x14ac:dyDescent="0.3">
      <c r="A38">
        <v>3.6</v>
      </c>
      <c r="B38">
        <v>5</v>
      </c>
      <c r="D38">
        <v>5</v>
      </c>
      <c r="E38">
        <v>5</v>
      </c>
      <c r="G38">
        <v>5</v>
      </c>
      <c r="H38">
        <v>5</v>
      </c>
    </row>
    <row r="39" spans="1:8" x14ac:dyDescent="0.3">
      <c r="A39">
        <v>1.8</v>
      </c>
      <c r="B39">
        <v>1</v>
      </c>
      <c r="D39">
        <v>1</v>
      </c>
      <c r="E39">
        <v>1</v>
      </c>
      <c r="G39">
        <v>1</v>
      </c>
      <c r="H39">
        <v>1</v>
      </c>
    </row>
    <row r="40" spans="1:8" x14ac:dyDescent="0.3">
      <c r="A40">
        <v>4.4000000000000004</v>
      </c>
      <c r="B40">
        <v>5</v>
      </c>
      <c r="D40">
        <v>5</v>
      </c>
      <c r="E40">
        <v>5</v>
      </c>
      <c r="G40">
        <v>4.8</v>
      </c>
      <c r="H40">
        <v>5</v>
      </c>
    </row>
    <row r="41" spans="1:8" x14ac:dyDescent="0.3">
      <c r="A41">
        <v>4</v>
      </c>
      <c r="B41">
        <v>4.5999999999999996</v>
      </c>
      <c r="D41">
        <v>3.8</v>
      </c>
      <c r="E41">
        <v>4.5999999999999996</v>
      </c>
      <c r="G41">
        <v>5</v>
      </c>
      <c r="H41">
        <v>4.5999999999999996</v>
      </c>
    </row>
    <row r="42" spans="1:8" x14ac:dyDescent="0.3">
      <c r="A42">
        <v>3</v>
      </c>
      <c r="B42">
        <v>3</v>
      </c>
      <c r="D42">
        <v>3</v>
      </c>
      <c r="E42">
        <v>3</v>
      </c>
      <c r="G42">
        <v>3</v>
      </c>
      <c r="H42">
        <v>3</v>
      </c>
    </row>
    <row r="43" spans="1:8" x14ac:dyDescent="0.3">
      <c r="A43">
        <v>3.8</v>
      </c>
      <c r="B43">
        <v>2.4</v>
      </c>
      <c r="D43">
        <v>3.2</v>
      </c>
      <c r="E43">
        <v>2.4</v>
      </c>
      <c r="G43">
        <v>4.4000000000000004</v>
      </c>
      <c r="H43">
        <v>2.4</v>
      </c>
    </row>
    <row r="44" spans="1:8" x14ac:dyDescent="0.3">
      <c r="A44">
        <v>2</v>
      </c>
      <c r="B44">
        <v>4.4000000000000004</v>
      </c>
      <c r="D44">
        <v>1.8</v>
      </c>
      <c r="E44">
        <v>4.4000000000000004</v>
      </c>
      <c r="G44">
        <v>3</v>
      </c>
      <c r="H44">
        <v>4.4000000000000004</v>
      </c>
    </row>
    <row r="45" spans="1:8" x14ac:dyDescent="0.3">
      <c r="A45">
        <v>3.2</v>
      </c>
      <c r="B45">
        <v>3.4</v>
      </c>
      <c r="D45">
        <v>3</v>
      </c>
      <c r="E45">
        <v>3.4</v>
      </c>
      <c r="G45">
        <v>4.2</v>
      </c>
      <c r="H45">
        <v>3.4</v>
      </c>
    </row>
    <row r="46" spans="1:8" x14ac:dyDescent="0.3">
      <c r="A46">
        <v>3.8</v>
      </c>
      <c r="B46">
        <v>3</v>
      </c>
      <c r="D46">
        <v>4</v>
      </c>
      <c r="E46">
        <v>3</v>
      </c>
      <c r="G46">
        <v>3.2</v>
      </c>
      <c r="H46">
        <v>3</v>
      </c>
    </row>
    <row r="47" spans="1:8" x14ac:dyDescent="0.3">
      <c r="A47">
        <v>2.4</v>
      </c>
      <c r="B47">
        <v>1.2</v>
      </c>
      <c r="D47">
        <v>2.4</v>
      </c>
      <c r="E47">
        <v>1.2</v>
      </c>
      <c r="G47">
        <v>1.8</v>
      </c>
      <c r="H47">
        <v>1.2</v>
      </c>
    </row>
    <row r="48" spans="1:8" x14ac:dyDescent="0.3">
      <c r="A48">
        <v>4.5999999999999996</v>
      </c>
      <c r="B48">
        <v>5</v>
      </c>
      <c r="D48">
        <v>5</v>
      </c>
      <c r="E48">
        <v>5</v>
      </c>
      <c r="G48">
        <v>5</v>
      </c>
      <c r="H48">
        <v>5</v>
      </c>
    </row>
    <row r="49" spans="1:8" x14ac:dyDescent="0.3">
      <c r="A49">
        <v>5</v>
      </c>
      <c r="B49">
        <v>5</v>
      </c>
      <c r="D49">
        <v>5</v>
      </c>
      <c r="E49">
        <v>5</v>
      </c>
      <c r="G49">
        <v>5</v>
      </c>
      <c r="H49">
        <v>5</v>
      </c>
    </row>
    <row r="50" spans="1:8" x14ac:dyDescent="0.3">
      <c r="A50">
        <v>5</v>
      </c>
      <c r="B50">
        <v>5</v>
      </c>
      <c r="D50">
        <v>5</v>
      </c>
      <c r="E50">
        <v>5</v>
      </c>
      <c r="G50">
        <v>5</v>
      </c>
      <c r="H50">
        <v>5</v>
      </c>
    </row>
    <row r="51" spans="1:8" x14ac:dyDescent="0.3">
      <c r="A51">
        <v>3</v>
      </c>
      <c r="B51">
        <v>3</v>
      </c>
      <c r="D51">
        <v>3</v>
      </c>
      <c r="E51">
        <v>3</v>
      </c>
      <c r="G51">
        <v>3</v>
      </c>
      <c r="H51">
        <v>3</v>
      </c>
    </row>
    <row r="52" spans="1:8" x14ac:dyDescent="0.3">
      <c r="A52">
        <v>4</v>
      </c>
      <c r="B52">
        <v>3.6</v>
      </c>
      <c r="D52">
        <v>3.8</v>
      </c>
      <c r="E52">
        <v>3.6</v>
      </c>
      <c r="G52">
        <v>4</v>
      </c>
      <c r="H52">
        <v>3.6</v>
      </c>
    </row>
    <row r="53" spans="1:8" x14ac:dyDescent="0.3">
      <c r="A53">
        <v>2</v>
      </c>
      <c r="B53">
        <v>1.2</v>
      </c>
      <c r="D53">
        <v>1.8</v>
      </c>
      <c r="E53">
        <v>1.2</v>
      </c>
      <c r="G53">
        <v>2.4</v>
      </c>
      <c r="H53">
        <v>1.2</v>
      </c>
    </row>
    <row r="54" spans="1:8" x14ac:dyDescent="0.3">
      <c r="A54">
        <v>5</v>
      </c>
      <c r="B54">
        <v>5</v>
      </c>
      <c r="D54">
        <v>5</v>
      </c>
      <c r="E54">
        <v>5</v>
      </c>
      <c r="G54">
        <v>5</v>
      </c>
      <c r="H54">
        <v>5</v>
      </c>
    </row>
    <row r="55" spans="1:8" x14ac:dyDescent="0.3">
      <c r="A55">
        <v>3.8</v>
      </c>
      <c r="B55">
        <v>4</v>
      </c>
      <c r="D55">
        <v>4</v>
      </c>
      <c r="E55">
        <v>4</v>
      </c>
      <c r="G55">
        <v>4</v>
      </c>
      <c r="H55">
        <v>4</v>
      </c>
    </row>
    <row r="56" spans="1:8" x14ac:dyDescent="0.3">
      <c r="A56">
        <v>3.4</v>
      </c>
      <c r="B56">
        <v>3.6</v>
      </c>
      <c r="D56">
        <v>3.6</v>
      </c>
      <c r="E56">
        <v>3.6</v>
      </c>
      <c r="G56">
        <v>3.4</v>
      </c>
      <c r="H56">
        <v>3.6</v>
      </c>
    </row>
    <row r="57" spans="1:8" x14ac:dyDescent="0.3">
      <c r="A57">
        <v>3</v>
      </c>
      <c r="B57">
        <v>3</v>
      </c>
      <c r="D57">
        <v>3</v>
      </c>
      <c r="E57">
        <v>3</v>
      </c>
      <c r="G57">
        <v>3</v>
      </c>
      <c r="H57">
        <v>3</v>
      </c>
    </row>
    <row r="58" spans="1:8" x14ac:dyDescent="0.3">
      <c r="A58">
        <v>4.2</v>
      </c>
      <c r="B58">
        <v>5</v>
      </c>
      <c r="D58">
        <v>5</v>
      </c>
      <c r="E58">
        <v>5</v>
      </c>
      <c r="G58">
        <v>5</v>
      </c>
      <c r="H58">
        <v>5</v>
      </c>
    </row>
    <row r="59" spans="1:8" x14ac:dyDescent="0.3">
      <c r="A59">
        <v>5</v>
      </c>
      <c r="B59">
        <v>5</v>
      </c>
      <c r="D59">
        <v>5</v>
      </c>
      <c r="E59">
        <v>5</v>
      </c>
      <c r="G59">
        <v>5</v>
      </c>
      <c r="H59">
        <v>5</v>
      </c>
    </row>
    <row r="60" spans="1:8" x14ac:dyDescent="0.3">
      <c r="A60">
        <v>3.4</v>
      </c>
      <c r="B60">
        <v>4</v>
      </c>
      <c r="D60">
        <v>2.4</v>
      </c>
      <c r="E60">
        <v>4</v>
      </c>
      <c r="G60">
        <v>4</v>
      </c>
      <c r="H60">
        <v>4</v>
      </c>
    </row>
    <row r="61" spans="1:8" x14ac:dyDescent="0.3">
      <c r="A61">
        <v>3.8</v>
      </c>
      <c r="B61">
        <v>3.6</v>
      </c>
      <c r="D61">
        <v>4.4000000000000004</v>
      </c>
      <c r="E61">
        <v>3.6</v>
      </c>
      <c r="G61">
        <v>4</v>
      </c>
      <c r="H61">
        <v>3.6</v>
      </c>
    </row>
    <row r="62" spans="1:8" x14ac:dyDescent="0.3">
      <c r="A62">
        <v>3.4</v>
      </c>
      <c r="B62">
        <v>3.2</v>
      </c>
      <c r="D62">
        <v>3.8</v>
      </c>
      <c r="E62">
        <v>3.2</v>
      </c>
      <c r="G62">
        <v>3.6</v>
      </c>
      <c r="H62">
        <v>3.2</v>
      </c>
    </row>
    <row r="63" spans="1:8" x14ac:dyDescent="0.3">
      <c r="A63">
        <v>4</v>
      </c>
      <c r="B63">
        <v>4</v>
      </c>
      <c r="D63">
        <v>4</v>
      </c>
      <c r="E63">
        <v>4</v>
      </c>
      <c r="G63">
        <v>3.8</v>
      </c>
      <c r="H63">
        <v>4</v>
      </c>
    </row>
    <row r="64" spans="1:8" x14ac:dyDescent="0.3">
      <c r="A64">
        <v>3</v>
      </c>
      <c r="B64">
        <v>3</v>
      </c>
      <c r="D64">
        <v>3</v>
      </c>
      <c r="E64">
        <v>3</v>
      </c>
      <c r="G64">
        <v>3</v>
      </c>
      <c r="H64">
        <v>3</v>
      </c>
    </row>
    <row r="65" spans="1:8" x14ac:dyDescent="0.3">
      <c r="A65">
        <v>3.8</v>
      </c>
      <c r="B65">
        <v>1</v>
      </c>
      <c r="D65">
        <v>2.2000000000000002</v>
      </c>
      <c r="E65">
        <v>1</v>
      </c>
      <c r="G65">
        <v>3.6</v>
      </c>
      <c r="H65">
        <v>1</v>
      </c>
    </row>
    <row r="66" spans="1:8" x14ac:dyDescent="0.3">
      <c r="A66">
        <v>3</v>
      </c>
      <c r="B66">
        <v>3.2</v>
      </c>
      <c r="D66">
        <v>3</v>
      </c>
      <c r="E66">
        <v>3.2</v>
      </c>
      <c r="G66">
        <v>4.5999999999999996</v>
      </c>
      <c r="H66">
        <v>3.2</v>
      </c>
    </row>
    <row r="67" spans="1:8" x14ac:dyDescent="0.3">
      <c r="A67">
        <v>4</v>
      </c>
      <c r="B67">
        <v>3.8</v>
      </c>
      <c r="D67">
        <v>4</v>
      </c>
      <c r="E67">
        <v>3.8</v>
      </c>
      <c r="G67">
        <v>4</v>
      </c>
      <c r="H67">
        <v>3.8</v>
      </c>
    </row>
    <row r="68" spans="1:8" x14ac:dyDescent="0.3">
      <c r="A68">
        <v>4</v>
      </c>
      <c r="B68">
        <v>4.2</v>
      </c>
      <c r="D68">
        <v>4.8</v>
      </c>
      <c r="E68">
        <v>4.2</v>
      </c>
      <c r="G68">
        <v>4.2</v>
      </c>
      <c r="H68">
        <v>4.2</v>
      </c>
    </row>
    <row r="69" spans="1:8" x14ac:dyDescent="0.3">
      <c r="A69">
        <v>3.6</v>
      </c>
      <c r="B69">
        <v>4</v>
      </c>
      <c r="D69">
        <v>3.6</v>
      </c>
      <c r="E69">
        <v>4</v>
      </c>
      <c r="G69">
        <v>4</v>
      </c>
      <c r="H69">
        <v>4</v>
      </c>
    </row>
    <row r="70" spans="1:8" x14ac:dyDescent="0.3">
      <c r="A70">
        <v>4.4000000000000004</v>
      </c>
      <c r="B70">
        <v>4.2</v>
      </c>
      <c r="D70">
        <v>4.5999999999999996</v>
      </c>
      <c r="E70">
        <v>4.2</v>
      </c>
      <c r="G70">
        <v>4.5999999999999996</v>
      </c>
      <c r="H70">
        <v>4.2</v>
      </c>
    </row>
    <row r="71" spans="1:8" x14ac:dyDescent="0.3">
      <c r="A71">
        <v>4.4000000000000004</v>
      </c>
      <c r="B71">
        <v>4.2</v>
      </c>
      <c r="D71">
        <v>4.4000000000000004</v>
      </c>
      <c r="E71">
        <v>4.2</v>
      </c>
      <c r="G71">
        <v>4.8</v>
      </c>
      <c r="H71">
        <v>4.2</v>
      </c>
    </row>
    <row r="72" spans="1:8" x14ac:dyDescent="0.3">
      <c r="A72">
        <v>1.8</v>
      </c>
      <c r="B72">
        <v>3.2</v>
      </c>
      <c r="D72">
        <v>2.8</v>
      </c>
      <c r="E72">
        <v>3.2</v>
      </c>
      <c r="G72">
        <v>2.2000000000000002</v>
      </c>
      <c r="H72">
        <v>3.2</v>
      </c>
    </row>
    <row r="73" spans="1:8" x14ac:dyDescent="0.3">
      <c r="A73">
        <v>3</v>
      </c>
      <c r="B73">
        <v>3</v>
      </c>
      <c r="D73">
        <v>3</v>
      </c>
      <c r="E73">
        <v>3</v>
      </c>
      <c r="G73">
        <v>3</v>
      </c>
      <c r="H73">
        <v>3</v>
      </c>
    </row>
    <row r="74" spans="1:8" x14ac:dyDescent="0.3">
      <c r="A74">
        <v>3.2</v>
      </c>
      <c r="B74">
        <v>2.6</v>
      </c>
      <c r="D74">
        <v>3.4</v>
      </c>
      <c r="E74">
        <v>2.6</v>
      </c>
      <c r="G74">
        <v>2.8</v>
      </c>
      <c r="H74">
        <v>2.6</v>
      </c>
    </row>
    <row r="75" spans="1:8" x14ac:dyDescent="0.3">
      <c r="A75">
        <v>2.8</v>
      </c>
      <c r="B75">
        <v>3.8</v>
      </c>
      <c r="D75">
        <v>3.2</v>
      </c>
      <c r="E75">
        <v>3.8</v>
      </c>
      <c r="G75">
        <v>4</v>
      </c>
      <c r="H75">
        <v>3.8</v>
      </c>
    </row>
    <row r="76" spans="1:8" x14ac:dyDescent="0.3">
      <c r="A76">
        <v>3</v>
      </c>
      <c r="B76">
        <v>4</v>
      </c>
      <c r="D76">
        <v>4</v>
      </c>
      <c r="E76">
        <v>4</v>
      </c>
      <c r="G76">
        <v>4</v>
      </c>
      <c r="H76">
        <v>4</v>
      </c>
    </row>
    <row r="77" spans="1:8" x14ac:dyDescent="0.3">
      <c r="A77">
        <v>3.8</v>
      </c>
      <c r="B77">
        <v>4.2</v>
      </c>
      <c r="D77">
        <v>4</v>
      </c>
      <c r="E77">
        <v>4.2</v>
      </c>
      <c r="G77">
        <v>4</v>
      </c>
      <c r="H77">
        <v>4.2</v>
      </c>
    </row>
    <row r="78" spans="1:8" x14ac:dyDescent="0.3">
      <c r="A78">
        <v>3.4</v>
      </c>
      <c r="B78">
        <v>3.4</v>
      </c>
      <c r="D78">
        <v>3.6</v>
      </c>
      <c r="E78">
        <v>3.4</v>
      </c>
      <c r="G78">
        <v>3.6</v>
      </c>
      <c r="H78">
        <v>3.4</v>
      </c>
    </row>
    <row r="79" spans="1:8" x14ac:dyDescent="0.3">
      <c r="A79">
        <v>5</v>
      </c>
      <c r="B79">
        <v>5</v>
      </c>
      <c r="D79">
        <v>5</v>
      </c>
      <c r="E79">
        <v>5</v>
      </c>
      <c r="G79">
        <v>5</v>
      </c>
      <c r="H79">
        <v>5</v>
      </c>
    </row>
    <row r="80" spans="1:8" x14ac:dyDescent="0.3">
      <c r="A80">
        <v>4.5999999999999996</v>
      </c>
      <c r="B80">
        <v>4.2</v>
      </c>
      <c r="D80">
        <v>4.4000000000000004</v>
      </c>
      <c r="E80">
        <v>4.2</v>
      </c>
      <c r="G80">
        <v>4.4000000000000004</v>
      </c>
      <c r="H80">
        <v>4.2</v>
      </c>
    </row>
    <row r="81" spans="1:8" x14ac:dyDescent="0.3">
      <c r="A81">
        <v>4.2</v>
      </c>
      <c r="B81">
        <v>2.4</v>
      </c>
      <c r="D81">
        <v>3.8</v>
      </c>
      <c r="E81">
        <v>2.4</v>
      </c>
      <c r="G81">
        <v>4</v>
      </c>
      <c r="H81">
        <v>2.4</v>
      </c>
    </row>
    <row r="82" spans="1:8" x14ac:dyDescent="0.3">
      <c r="A82">
        <v>4.4000000000000004</v>
      </c>
      <c r="B82">
        <v>3.8</v>
      </c>
      <c r="D82">
        <v>3.6</v>
      </c>
      <c r="E82">
        <v>3.8</v>
      </c>
      <c r="G82">
        <v>3.8</v>
      </c>
      <c r="H82">
        <v>3.8</v>
      </c>
    </row>
    <row r="83" spans="1:8" x14ac:dyDescent="0.3">
      <c r="A83">
        <v>4</v>
      </c>
      <c r="B83">
        <v>3.6</v>
      </c>
      <c r="D83">
        <v>3.8</v>
      </c>
      <c r="E83">
        <v>3.6</v>
      </c>
      <c r="G83">
        <v>3.6</v>
      </c>
      <c r="H83">
        <v>3.6</v>
      </c>
    </row>
    <row r="84" spans="1:8" x14ac:dyDescent="0.3">
      <c r="A84">
        <v>3.6</v>
      </c>
      <c r="B84">
        <v>3.4</v>
      </c>
      <c r="D84">
        <v>3.6</v>
      </c>
      <c r="E84">
        <v>3.4</v>
      </c>
      <c r="G84">
        <v>3.8</v>
      </c>
      <c r="H84">
        <v>3.4</v>
      </c>
    </row>
    <row r="85" spans="1:8" x14ac:dyDescent="0.3">
      <c r="A85">
        <v>3.6</v>
      </c>
      <c r="B85">
        <v>4</v>
      </c>
      <c r="D85">
        <v>3.2</v>
      </c>
      <c r="E85">
        <v>4</v>
      </c>
      <c r="G85">
        <v>3.8</v>
      </c>
      <c r="H85">
        <v>4</v>
      </c>
    </row>
    <row r="86" spans="1:8" x14ac:dyDescent="0.3">
      <c r="A86">
        <v>5</v>
      </c>
      <c r="B86">
        <v>5</v>
      </c>
      <c r="D86">
        <v>5</v>
      </c>
      <c r="E86">
        <v>5</v>
      </c>
      <c r="G86">
        <v>5</v>
      </c>
      <c r="H86">
        <v>5</v>
      </c>
    </row>
    <row r="87" spans="1:8" x14ac:dyDescent="0.3">
      <c r="A87">
        <v>4</v>
      </c>
      <c r="B87">
        <v>3.8</v>
      </c>
      <c r="D87">
        <v>4</v>
      </c>
      <c r="E87">
        <v>3.8</v>
      </c>
      <c r="G87">
        <v>3.4</v>
      </c>
      <c r="H87">
        <v>3.8</v>
      </c>
    </row>
    <row r="88" spans="1:8" x14ac:dyDescent="0.3">
      <c r="A88">
        <v>4</v>
      </c>
      <c r="B88">
        <v>4</v>
      </c>
      <c r="D88">
        <v>4</v>
      </c>
      <c r="E88">
        <v>4</v>
      </c>
      <c r="G88">
        <v>4</v>
      </c>
      <c r="H88">
        <v>4</v>
      </c>
    </row>
    <row r="89" spans="1:8" x14ac:dyDescent="0.3">
      <c r="A89">
        <v>3.8</v>
      </c>
      <c r="B89">
        <v>4.2</v>
      </c>
      <c r="D89">
        <v>3</v>
      </c>
      <c r="E89">
        <v>4.2</v>
      </c>
      <c r="G89">
        <v>4.5999999999999996</v>
      </c>
      <c r="H89">
        <v>4.2</v>
      </c>
    </row>
    <row r="90" spans="1:8" x14ac:dyDescent="0.3">
      <c r="A90">
        <v>4.2</v>
      </c>
      <c r="B90">
        <v>4.2</v>
      </c>
      <c r="D90">
        <v>4.2</v>
      </c>
      <c r="E90">
        <v>4.2</v>
      </c>
      <c r="G90">
        <v>4.2</v>
      </c>
      <c r="H90">
        <v>4.2</v>
      </c>
    </row>
    <row r="91" spans="1:8" x14ac:dyDescent="0.3">
      <c r="A91">
        <v>4</v>
      </c>
      <c r="B91">
        <v>4</v>
      </c>
      <c r="D91">
        <v>4</v>
      </c>
      <c r="E91">
        <v>4</v>
      </c>
      <c r="G91">
        <v>4</v>
      </c>
      <c r="H91">
        <v>4</v>
      </c>
    </row>
    <row r="92" spans="1:8" x14ac:dyDescent="0.3">
      <c r="A92">
        <v>3.6</v>
      </c>
      <c r="B92">
        <v>3.6</v>
      </c>
      <c r="D92">
        <v>3</v>
      </c>
      <c r="E92">
        <v>3.6</v>
      </c>
      <c r="G92">
        <v>3.2</v>
      </c>
      <c r="H92">
        <v>3.6</v>
      </c>
    </row>
    <row r="93" spans="1:8" x14ac:dyDescent="0.3">
      <c r="A93">
        <v>4</v>
      </c>
      <c r="B93">
        <v>1.8</v>
      </c>
      <c r="D93">
        <v>2.8</v>
      </c>
      <c r="E93">
        <v>1.8</v>
      </c>
      <c r="G93">
        <v>3.2</v>
      </c>
      <c r="H93">
        <v>1.8</v>
      </c>
    </row>
    <row r="94" spans="1:8" x14ac:dyDescent="0.3">
      <c r="A94">
        <v>4.2</v>
      </c>
      <c r="B94">
        <v>4.2</v>
      </c>
      <c r="D94">
        <v>3.8</v>
      </c>
      <c r="E94">
        <v>4.2</v>
      </c>
      <c r="G94">
        <v>2.4</v>
      </c>
      <c r="H94">
        <v>4.2</v>
      </c>
    </row>
    <row r="95" spans="1:8" x14ac:dyDescent="0.3">
      <c r="A95">
        <v>3.2</v>
      </c>
      <c r="B95">
        <v>3.6</v>
      </c>
      <c r="D95">
        <v>4.4000000000000004</v>
      </c>
      <c r="E95">
        <v>3.6</v>
      </c>
      <c r="G95">
        <v>4.2</v>
      </c>
      <c r="H95">
        <v>3.6</v>
      </c>
    </row>
    <row r="96" spans="1:8" x14ac:dyDescent="0.3">
      <c r="A96">
        <v>2.6</v>
      </c>
      <c r="B96">
        <v>1</v>
      </c>
      <c r="D96">
        <v>2.4</v>
      </c>
      <c r="E96">
        <v>1</v>
      </c>
      <c r="G96">
        <v>2</v>
      </c>
      <c r="H96">
        <v>1</v>
      </c>
    </row>
    <row r="97" spans="1:8" x14ac:dyDescent="0.3">
      <c r="A97">
        <v>2.6</v>
      </c>
      <c r="B97">
        <v>2.2000000000000002</v>
      </c>
      <c r="D97">
        <v>2.6</v>
      </c>
      <c r="E97">
        <v>2.2000000000000002</v>
      </c>
      <c r="G97">
        <v>2</v>
      </c>
      <c r="H97">
        <v>2.2000000000000002</v>
      </c>
    </row>
    <row r="98" spans="1:8" x14ac:dyDescent="0.3">
      <c r="A98">
        <v>2</v>
      </c>
      <c r="B98">
        <v>2.2000000000000002</v>
      </c>
      <c r="D98">
        <v>3</v>
      </c>
      <c r="E98">
        <v>2.2000000000000002</v>
      </c>
      <c r="G98">
        <v>2</v>
      </c>
      <c r="H98">
        <v>2.2000000000000002</v>
      </c>
    </row>
    <row r="99" spans="1:8" x14ac:dyDescent="0.3">
      <c r="A99">
        <v>3.6</v>
      </c>
      <c r="B99">
        <v>4.2</v>
      </c>
      <c r="D99">
        <v>4</v>
      </c>
      <c r="E99">
        <v>4.2</v>
      </c>
      <c r="G99">
        <v>3.8</v>
      </c>
      <c r="H99">
        <v>4.2</v>
      </c>
    </row>
    <row r="100" spans="1:8" x14ac:dyDescent="0.3">
      <c r="A100">
        <v>3.4</v>
      </c>
      <c r="B100">
        <v>4</v>
      </c>
      <c r="D100">
        <v>3.8</v>
      </c>
      <c r="E100">
        <v>4</v>
      </c>
      <c r="G100">
        <v>3.8</v>
      </c>
      <c r="H100">
        <v>4</v>
      </c>
    </row>
    <row r="101" spans="1:8" x14ac:dyDescent="0.3">
      <c r="A101">
        <v>3</v>
      </c>
      <c r="B101">
        <v>3</v>
      </c>
      <c r="D101">
        <v>2.2000000000000002</v>
      </c>
      <c r="E101">
        <v>3</v>
      </c>
      <c r="G101">
        <v>1.6</v>
      </c>
      <c r="H101">
        <v>3</v>
      </c>
    </row>
    <row r="102" spans="1:8" x14ac:dyDescent="0.3">
      <c r="A102">
        <v>3.6</v>
      </c>
      <c r="B102">
        <v>3</v>
      </c>
      <c r="D102">
        <v>3.6</v>
      </c>
      <c r="E102">
        <v>3</v>
      </c>
      <c r="G102">
        <v>4.2</v>
      </c>
      <c r="H102">
        <v>3</v>
      </c>
    </row>
    <row r="103" spans="1:8" x14ac:dyDescent="0.3">
      <c r="A103">
        <v>2.8</v>
      </c>
      <c r="B103">
        <v>3</v>
      </c>
      <c r="D103">
        <v>2.8</v>
      </c>
      <c r="E103">
        <v>3</v>
      </c>
      <c r="G103">
        <v>1.8</v>
      </c>
      <c r="H103">
        <v>3</v>
      </c>
    </row>
    <row r="104" spans="1:8" x14ac:dyDescent="0.3">
      <c r="A104">
        <v>3.4</v>
      </c>
      <c r="B104">
        <v>2.6</v>
      </c>
      <c r="D104">
        <v>3.6</v>
      </c>
      <c r="E104">
        <v>2.6</v>
      </c>
      <c r="G104">
        <v>2.8</v>
      </c>
      <c r="H104">
        <v>2.6</v>
      </c>
    </row>
    <row r="105" spans="1:8" x14ac:dyDescent="0.3">
      <c r="A105">
        <v>2.8</v>
      </c>
      <c r="B105">
        <v>2.6</v>
      </c>
      <c r="D105">
        <v>2.4</v>
      </c>
      <c r="E105">
        <v>2.6</v>
      </c>
      <c r="G105">
        <v>2.6</v>
      </c>
      <c r="H105">
        <v>2.6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FAFD5-1DF5-46C7-96F1-7669934502CE}">
  <dimension ref="A3:B8"/>
  <sheetViews>
    <sheetView workbookViewId="0">
      <selection activeCell="A3" sqref="A3:B8"/>
    </sheetView>
  </sheetViews>
  <sheetFormatPr defaultRowHeight="14.4" x14ac:dyDescent="0.3"/>
  <cols>
    <col min="1" max="1" width="12.5546875" bestFit="1" customWidth="1"/>
    <col min="2" max="2" width="39.77734375" bestFit="1" customWidth="1"/>
  </cols>
  <sheetData>
    <row r="3" spans="1:2" x14ac:dyDescent="0.3">
      <c r="A3" s="24" t="s">
        <v>145</v>
      </c>
      <c r="B3" t="s">
        <v>147</v>
      </c>
    </row>
    <row r="4" spans="1:2" x14ac:dyDescent="0.3">
      <c r="A4" s="25" t="s">
        <v>37</v>
      </c>
      <c r="B4" s="26">
        <v>3.0181818181818185</v>
      </c>
    </row>
    <row r="5" spans="1:2" x14ac:dyDescent="0.3">
      <c r="A5" s="25" t="s">
        <v>26</v>
      </c>
      <c r="B5" s="26">
        <v>3.7253333333333321</v>
      </c>
    </row>
    <row r="6" spans="1:2" x14ac:dyDescent="0.3">
      <c r="A6" s="25" t="s">
        <v>63</v>
      </c>
      <c r="B6" s="26">
        <v>3.4545454545454546</v>
      </c>
    </row>
    <row r="7" spans="1:2" x14ac:dyDescent="0.3">
      <c r="A7" s="25" t="s">
        <v>66</v>
      </c>
      <c r="B7" s="26">
        <v>3.4571428571428577</v>
      </c>
    </row>
    <row r="8" spans="1:2" x14ac:dyDescent="0.3">
      <c r="A8" s="25" t="s">
        <v>146</v>
      </c>
      <c r="B8" s="26">
        <v>3.6038461538461535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837DB-A010-42C7-B01C-123E06684FDD}">
  <dimension ref="A3:B7"/>
  <sheetViews>
    <sheetView workbookViewId="0">
      <selection activeCell="A27" sqref="A27:B32"/>
    </sheetView>
  </sheetViews>
  <sheetFormatPr defaultRowHeight="14.4" x14ac:dyDescent="0.3"/>
  <cols>
    <col min="1" max="1" width="12.5546875" bestFit="1" customWidth="1"/>
    <col min="2" max="2" width="39.77734375" bestFit="1" customWidth="1"/>
  </cols>
  <sheetData>
    <row r="3" spans="1:2" x14ac:dyDescent="0.3">
      <c r="A3" s="24" t="s">
        <v>145</v>
      </c>
      <c r="B3" t="s">
        <v>150</v>
      </c>
    </row>
    <row r="4" spans="1:2" x14ac:dyDescent="0.3">
      <c r="A4" s="25" t="s">
        <v>144</v>
      </c>
      <c r="B4">
        <v>0.75</v>
      </c>
    </row>
    <row r="5" spans="1:2" x14ac:dyDescent="0.3">
      <c r="A5" s="25" t="s">
        <v>143</v>
      </c>
      <c r="B5">
        <v>0.75</v>
      </c>
    </row>
    <row r="6" spans="1:2" x14ac:dyDescent="0.3">
      <c r="A6" s="25" t="s">
        <v>142</v>
      </c>
      <c r="B6">
        <v>0.64</v>
      </c>
    </row>
    <row r="7" spans="1:2" x14ac:dyDescent="0.3">
      <c r="A7" s="25" t="s">
        <v>146</v>
      </c>
      <c r="B7" s="26">
        <v>2.14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0581E-9F3A-454F-9127-68D0777A43CD}">
  <dimension ref="A1"/>
  <sheetViews>
    <sheetView showGridLines="0" tabSelected="1" topLeftCell="A18" workbookViewId="0">
      <selection activeCell="M26" sqref="M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NUMERICAL DATA</vt:lpstr>
      <vt:lpstr>AVG S-O-R</vt:lpstr>
      <vt:lpstr>PIVOT AGE</vt:lpstr>
      <vt:lpstr>PIVOT STIMULI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Dwivedi</dc:creator>
  <cp:lastModifiedBy>Ananya Dwivedi</cp:lastModifiedBy>
  <dcterms:created xsi:type="dcterms:W3CDTF">2026-04-20T15:24:06Z</dcterms:created>
  <dcterms:modified xsi:type="dcterms:W3CDTF">2026-04-21T10:48:13Z</dcterms:modified>
</cp:coreProperties>
</file>